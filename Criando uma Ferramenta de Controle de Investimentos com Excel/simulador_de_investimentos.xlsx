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ocuments\"/>
    </mc:Choice>
  </mc:AlternateContent>
  <xr:revisionPtr revIDLastSave="0" documentId="13_ncr:1_{1ACAEF99-5E69-4067-807E-0D1962603B33}" xr6:coauthVersionLast="47" xr6:coauthVersionMax="47" xr10:uidLastSave="{00000000-0000-0000-0000-000000000000}"/>
  <bookViews>
    <workbookView xWindow="-108" yWindow="-108" windowWidth="23256" windowHeight="12456" xr2:uid="{10D2508F-4512-4900-A79A-CBE255C44BB2}"/>
  </bookViews>
  <sheets>
    <sheet name="Planilha_Investimentos" sheetId="1" r:id="rId1"/>
    <sheet name="Planilha_Apoio" sheetId="2" r:id="rId2"/>
  </sheets>
  <definedNames>
    <definedName name="anos">Planilha_Investimentos!$D$11</definedName>
    <definedName name="aporte">Planilha_Investimentos!$D$10</definedName>
    <definedName name="dividendos">Planilha_Investimentos!$D$14</definedName>
    <definedName name="patrimonio">Planilha_Investimentos!$D$13</definedName>
    <definedName name="redimentos_carteira">Planilha_Investimentos!$D$6</definedName>
    <definedName name="rendimento_mensal">Planilha_Investimentos!$D$12</definedName>
    <definedName name="salario">Planilha_Investimentos!$D$5</definedName>
    <definedName name="sugestao_investimento">Planilha_Investimentos!$D$7</definedName>
    <definedName name="taxa_mensal">Planilha_Investimentos!$D$12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B10" i="2"/>
  <c r="B11" i="2"/>
  <c r="B12" i="2"/>
  <c r="B13" i="2"/>
  <c r="B14" i="2"/>
  <c r="B15" i="2"/>
  <c r="B17" i="2"/>
  <c r="B18" i="2"/>
  <c r="B19" i="2"/>
  <c r="B20" i="2"/>
  <c r="B21" i="2"/>
  <c r="B22" i="2"/>
  <c r="B4" i="2"/>
  <c r="B5" i="2"/>
  <c r="C31" i="1" s="1"/>
  <c r="B6" i="2"/>
  <c r="B7" i="2"/>
  <c r="C27" i="1" s="1"/>
  <c r="B8" i="2"/>
  <c r="B3" i="2"/>
  <c r="D7" i="1"/>
  <c r="C21" i="1"/>
  <c r="D21" i="1" s="1"/>
  <c r="C20" i="1"/>
  <c r="D20" i="1" s="1"/>
  <c r="C19" i="1"/>
  <c r="D19" i="1" s="1"/>
  <c r="C18" i="1"/>
  <c r="D18" i="1" s="1"/>
  <c r="C17" i="1"/>
  <c r="D17" i="1" s="1"/>
  <c r="D13" i="1"/>
  <c r="D14" i="1" s="1"/>
  <c r="C30" i="1" l="1"/>
  <c r="D30" i="1" s="1"/>
  <c r="C32" i="1"/>
  <c r="D32" i="1" s="1"/>
  <c r="C29" i="1"/>
  <c r="D29" i="1" s="1"/>
  <c r="C28" i="1"/>
  <c r="D28" i="1" s="1"/>
  <c r="D31" i="1"/>
  <c r="D27" i="1"/>
  <c r="D33" i="1" l="1"/>
</calcChain>
</file>

<file path=xl/sharedStrings.xml><?xml version="1.0" encoding="utf-8"?>
<sst xmlns="http://schemas.openxmlformats.org/spreadsheetml/2006/main" count="71" uniqueCount="34">
  <si>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</si>
  <si>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</si>
  <si>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</si>
  <si>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</si>
  <si>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</si>
  <si>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</si>
  <si>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</si>
  <si>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</si>
  <si>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</si>
  <si>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</si>
  <si>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</si>
  <si>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</si>
  <si>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</si>
  <si>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</si>
  <si>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</si>
  <si>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de Carteira</t>
  </si>
  <si>
    <t>Sugestão de Investimento</t>
  </si>
  <si>
    <t>Agressivo</t>
  </si>
  <si>
    <t>Conservador</t>
  </si>
  <si>
    <t>Moderado</t>
  </si>
  <si>
    <t>PERFIL</t>
  </si>
  <si>
    <t>VALOR A SER VENDIDO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</si>
  <si>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</si>
  <si>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</si>
  <si>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</si>
  <si>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</si>
  <si>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</si>
  <si>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</si>
  <si>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</si>
  <si>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</si>
  <si>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</si>
  <si>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 xml:space="preserve"> </t>
  </si>
  <si>
    <t>CHAVE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</si>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</sst>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onsolas"/>
      <family val="3"/>
    </font>
    <font>
      <b/>
      <sz val="16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theme="0"/>
      <name val="Segoe UI"/>
      <family val="2"/>
    </font>
    <font>
      <sz val="16"/>
      <color rgb="FF9C5700"/>
      <name val="Segoe UI"/>
      <family val="2"/>
    </font>
    <font>
      <sz val="16"/>
      <color theme="1"/>
      <name val="Calibri"/>
      <family val="2"/>
      <scheme val="minor"/>
    </font>
    <font>
      <sz val="16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/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medium">
        <color auto="1"/>
      </top>
      <bottom style="thin">
        <color theme="0" tint="-0.14996795556505021"/>
      </bottom>
      <diagonal/>
    </border>
    <border>
      <left style="medium">
        <color auto="1"/>
      </left>
      <right style="thin">
        <color theme="2" tint="-9.9948118533890809E-2"/>
      </right>
      <top style="medium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auto="1"/>
      </right>
      <top style="medium">
        <color auto="1"/>
      </top>
      <bottom style="thin">
        <color theme="2" tint="-9.9948118533890809E-2"/>
      </bottom>
      <diagonal/>
    </border>
    <border>
      <left style="medium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auto="1"/>
      </left>
      <right style="thin">
        <color theme="2" tint="-9.9948118533890809E-2"/>
      </right>
      <top style="thin">
        <color theme="2" tint="-9.9948118533890809E-2"/>
      </top>
      <bottom style="medium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auto="1"/>
      </bottom>
      <diagonal/>
    </border>
    <border>
      <left style="thin">
        <color theme="2" tint="-9.9948118533890809E-2"/>
      </left>
      <right style="medium">
        <color auto="1"/>
      </right>
      <top style="thin">
        <color theme="2" tint="-9.9948118533890809E-2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9" fontId="0" fillId="0" borderId="0" xfId="0" applyNumberFormat="1"/>
    <xf numFmtId="0" fontId="0" fillId="0" borderId="0" xfId="0" applyFont="1"/>
    <xf numFmtId="0" fontId="5" fillId="5" borderId="15" xfId="0" applyFont="1" applyFill="1" applyBorder="1" applyAlignment="1">
      <alignment horizontal="left" vertical="center" indent="3"/>
    </xf>
    <xf numFmtId="0" fontId="5" fillId="5" borderId="16" xfId="0" applyFont="1" applyFill="1" applyBorder="1" applyAlignment="1">
      <alignment horizontal="left" vertical="center" indent="3"/>
    </xf>
    <xf numFmtId="0" fontId="5" fillId="5" borderId="17" xfId="0" applyFont="1" applyFill="1" applyBorder="1" applyAlignment="1">
      <alignment horizontal="left" vertical="center" indent="3"/>
    </xf>
    <xf numFmtId="0" fontId="7" fillId="0" borderId="0" xfId="0" applyFont="1"/>
    <xf numFmtId="0" fontId="5" fillId="3" borderId="15" xfId="0" applyFont="1" applyFill="1" applyBorder="1" applyAlignment="1">
      <alignment horizontal="left" vertical="center" indent="3"/>
    </xf>
    <xf numFmtId="0" fontId="5" fillId="3" borderId="16" xfId="0" applyFont="1" applyFill="1" applyBorder="1" applyAlignment="1">
      <alignment horizontal="left" vertical="center" indent="3"/>
    </xf>
    <xf numFmtId="0" fontId="5" fillId="3" borderId="17" xfId="0" applyFont="1" applyFill="1" applyBorder="1" applyAlignment="1">
      <alignment horizontal="left" vertical="center" indent="3"/>
    </xf>
    <xf numFmtId="0" fontId="8" fillId="6" borderId="6" xfId="0" applyFont="1" applyFill="1" applyBorder="1" applyAlignment="1">
      <alignment horizontal="left" indent="3"/>
    </xf>
    <xf numFmtId="0" fontId="8" fillId="6" borderId="7" xfId="0" applyFont="1" applyFill="1" applyBorder="1" applyAlignment="1">
      <alignment horizontal="left" indent="3"/>
    </xf>
    <xf numFmtId="8" fontId="8" fillId="6" borderId="8" xfId="0" applyNumberFormat="1" applyFont="1" applyFill="1" applyBorder="1" applyAlignment="1">
      <alignment horizontal="center"/>
    </xf>
    <xf numFmtId="0" fontId="8" fillId="6" borderId="9" xfId="0" applyFont="1" applyFill="1" applyBorder="1" applyAlignment="1">
      <alignment horizontal="left" indent="3"/>
    </xf>
    <xf numFmtId="0" fontId="8" fillId="6" borderId="10" xfId="0" applyFont="1" applyFill="1" applyBorder="1" applyAlignment="1">
      <alignment horizontal="left" indent="3"/>
    </xf>
    <xf numFmtId="8" fontId="8" fillId="6" borderId="11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left" vertical="center" indent="3"/>
    </xf>
    <xf numFmtId="0" fontId="5" fillId="3" borderId="13" xfId="0" applyFont="1" applyFill="1" applyBorder="1" applyAlignment="1">
      <alignment horizontal="left" vertical="center" indent="3"/>
    </xf>
    <xf numFmtId="0" fontId="9" fillId="3" borderId="2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indent="3"/>
    </xf>
    <xf numFmtId="0" fontId="6" fillId="4" borderId="7" xfId="0" applyFont="1" applyFill="1" applyBorder="1" applyAlignment="1">
      <alignment horizontal="left" indent="3"/>
    </xf>
    <xf numFmtId="165" fontId="6" fillId="4" borderId="8" xfId="0" applyNumberFormat="1" applyFont="1" applyFill="1" applyBorder="1" applyAlignment="1">
      <alignment horizontal="center"/>
    </xf>
    <xf numFmtId="9" fontId="6" fillId="4" borderId="8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left" indent="3"/>
    </xf>
    <xf numFmtId="0" fontId="6" fillId="4" borderId="10" xfId="0" applyFont="1" applyFill="1" applyBorder="1" applyAlignment="1">
      <alignment horizontal="left" indent="3"/>
    </xf>
    <xf numFmtId="165" fontId="6" fillId="4" borderId="11" xfId="0" applyNumberFormat="1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0" fontId="6" fillId="4" borderId="8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left" indent="3"/>
    </xf>
    <xf numFmtId="8" fontId="6" fillId="4" borderId="4" xfId="0" applyNumberFormat="1" applyFont="1" applyFill="1" applyBorder="1" applyAlignment="1">
      <alignment horizontal="center" vertical="center"/>
    </xf>
    <xf numFmtId="8" fontId="6" fillId="4" borderId="5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indent="3"/>
    </xf>
    <xf numFmtId="8" fontId="6" fillId="4" borderId="7" xfId="0" applyNumberFormat="1" applyFont="1" applyFill="1" applyBorder="1" applyAlignment="1">
      <alignment horizontal="center" vertical="center"/>
    </xf>
    <xf numFmtId="8" fontId="6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indent="3"/>
    </xf>
    <xf numFmtId="8" fontId="6" fillId="4" borderId="10" xfId="0" applyNumberFormat="1" applyFont="1" applyFill="1" applyBorder="1" applyAlignment="1">
      <alignment horizontal="center" vertical="center"/>
    </xf>
    <xf numFmtId="8" fontId="6" fillId="4" borderId="11" xfId="0" applyNumberFormat="1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11" fillId="0" borderId="0" xfId="0" applyFont="1"/>
    <xf numFmtId="0" fontId="10" fillId="2" borderId="18" xfId="2" applyFont="1" applyBorder="1" applyAlignment="1">
      <alignment horizontal="center"/>
    </xf>
    <xf numFmtId="0" fontId="10" fillId="2" borderId="19" xfId="2" applyFont="1" applyBorder="1" applyAlignment="1">
      <alignment horizontal="center"/>
    </xf>
    <xf numFmtId="0" fontId="10" fillId="2" borderId="20" xfId="2" applyFont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165" fontId="6" fillId="4" borderId="25" xfId="0" applyNumberFormat="1" applyFont="1" applyFill="1" applyBorder="1" applyAlignment="1">
      <alignment horizontal="center"/>
    </xf>
    <xf numFmtId="165" fontId="6" fillId="4" borderId="26" xfId="0" applyNumberFormat="1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9" fontId="6" fillId="4" borderId="22" xfId="0" applyNumberFormat="1" applyFont="1" applyFill="1" applyBorder="1" applyAlignment="1">
      <alignment horizontal="center"/>
    </xf>
    <xf numFmtId="165" fontId="6" fillId="4" borderId="23" xfId="0" applyNumberFormat="1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2" fillId="7" borderId="24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vertical="center"/>
    </xf>
    <xf numFmtId="165" fontId="12" fillId="7" borderId="26" xfId="0" applyNumberFormat="1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9" fontId="6" fillId="0" borderId="14" xfId="0" applyNumberFormat="1" applyFont="1" applyBorder="1" applyAlignment="1">
      <alignment horizontal="center"/>
    </xf>
    <xf numFmtId="0" fontId="6" fillId="7" borderId="1" xfId="0" applyFont="1" applyFill="1" applyBorder="1" applyAlignment="1"/>
    <xf numFmtId="0" fontId="6" fillId="7" borderId="0" xfId="0" applyFont="1" applyFill="1" applyBorder="1" applyAlignment="1"/>
    <xf numFmtId="0" fontId="6" fillId="7" borderId="14" xfId="0" applyFont="1" applyFill="1" applyBorder="1" applyAlignment="1"/>
    <xf numFmtId="9" fontId="6" fillId="0" borderId="14" xfId="1" applyFon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0" fontId="6" fillId="0" borderId="29" xfId="0" applyFont="1" applyBorder="1" applyAlignment="1">
      <alignment horizontal="center"/>
    </xf>
    <xf numFmtId="9" fontId="6" fillId="0" borderId="30" xfId="1" applyFont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Planilha_Investimentos!$C$26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Planilha_Investimentos!$B$27:$B$32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Planilha_Investimentos!$C$27:$C$32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E-452A-9109-E8501336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54428</xdr:rowOff>
    </xdr:from>
    <xdr:to>
      <xdr:col>3</xdr:col>
      <xdr:colOff>1451153</xdr:colOff>
      <xdr:row>2</xdr:row>
      <xdr:rowOff>97971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95814CD-706A-380E-C2AA-7EF89F6E3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98" b="18541"/>
        <a:stretch>
          <a:fillRect/>
        </a:stretch>
      </xdr:blipFill>
      <xdr:spPr>
        <a:xfrm>
          <a:off x="2295524" y="54428"/>
          <a:ext cx="9192257" cy="2786743"/>
        </a:xfrm>
        <a:prstGeom prst="rect">
          <a:avLst/>
        </a:prstGeom>
      </xdr:spPr>
    </xdr:pic>
    <xdr:clientData/>
  </xdr:twoCellAnchor>
  <xdr:twoCellAnchor>
    <xdr:from>
      <xdr:col>1</xdr:col>
      <xdr:colOff>1426027</xdr:colOff>
      <xdr:row>34</xdr:row>
      <xdr:rowOff>48985</xdr:rowOff>
    </xdr:from>
    <xdr:to>
      <xdr:col>2</xdr:col>
      <xdr:colOff>4020456</xdr:colOff>
      <xdr:row>55</xdr:row>
      <xdr:rowOff>76199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10A80F7-6109-DE38-A5AC-B4AC91D19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CAC5-54CF-4245-B909-DF72FAFA0731}">
  <dimension ref="A1:H35"/>
  <sheetViews>
    <sheetView showGridLines="0" tabSelected="1" zoomScale="60" zoomScaleNormal="60" workbookViewId="0">
      <selection activeCell="D15" sqref="D15"/>
    </sheetView>
  </sheetViews>
  <sheetFormatPr defaultRowHeight="14.4" x14ac:dyDescent="0.3"/>
  <cols>
    <col min="1" max="1" width="6.77734375" customWidth="1"/>
    <col min="2" max="2" width="53.77734375" customWidth="1"/>
    <col min="3" max="3" width="59.21875" customWidth="1"/>
    <col min="4" max="4" width="21.33203125" customWidth="1"/>
    <col min="5" max="5" width="8.5546875" customWidth="1"/>
    <col min="8" max="8" width="32.21875" bestFit="1" customWidth="1"/>
    <col min="9" max="9" width="15.21875" bestFit="1" customWidth="1"/>
  </cols>
  <sheetData>
    <row r="1" spans="2:4" ht="29.4" customHeight="1" x14ac:dyDescent="0.3"/>
    <row r="2" spans="2:4" ht="187.2" customHeight="1" x14ac:dyDescent="0.3"/>
    <row r="3" spans="2:4" ht="15" thickBot="1" x14ac:dyDescent="0.35"/>
    <row r="4" spans="2:4" ht="36.6" customHeight="1" x14ac:dyDescent="0.3">
      <c r="B4" s="5" t="s">
        <v>13</v>
      </c>
      <c r="C4" s="6"/>
      <c r="D4" s="7"/>
    </row>
    <row r="5" spans="2:4" ht="19.2" x14ac:dyDescent="0.45">
      <c r="B5" s="21" t="s">
        <v>14</v>
      </c>
      <c r="C5" s="22"/>
      <c r="D5" s="23">
        <v>2500</v>
      </c>
    </row>
    <row r="6" spans="2:4" ht="19.2" x14ac:dyDescent="0.45">
      <c r="B6" s="21" t="s">
        <v>15</v>
      </c>
      <c r="C6" s="22"/>
      <c r="D6" s="24">
        <v>0.01</v>
      </c>
    </row>
    <row r="7" spans="2:4" ht="19.8" thickBot="1" x14ac:dyDescent="0.5">
      <c r="B7" s="25" t="s">
        <v>16</v>
      </c>
      <c r="C7" s="26"/>
      <c r="D7" s="27">
        <f>D5*30%</f>
        <v>750</v>
      </c>
    </row>
    <row r="8" spans="2:4" ht="17.399999999999999" thickBot="1" x14ac:dyDescent="0.45">
      <c r="B8" s="8"/>
      <c r="C8" s="8"/>
      <c r="D8" s="8"/>
    </row>
    <row r="9" spans="2:4" ht="35.4" customHeight="1" x14ac:dyDescent="0.3">
      <c r="B9" s="9" t="s">
        <v>0</v>
      </c>
      <c r="C9" s="10"/>
      <c r="D9" s="11"/>
    </row>
    <row r="10" spans="2:4" ht="19.2" x14ac:dyDescent="0.45">
      <c r="B10" s="21" t="s">
        <v>1</v>
      </c>
      <c r="C10" s="22"/>
      <c r="D10" s="23">
        <v>750</v>
      </c>
    </row>
    <row r="11" spans="2:4" ht="19.2" x14ac:dyDescent="0.45">
      <c r="B11" s="21" t="s">
        <v>2</v>
      </c>
      <c r="C11" s="22"/>
      <c r="D11" s="28">
        <v>1</v>
      </c>
    </row>
    <row r="12" spans="2:4" ht="19.2" x14ac:dyDescent="0.45">
      <c r="B12" s="21" t="s">
        <v>3</v>
      </c>
      <c r="C12" s="22"/>
      <c r="D12" s="29">
        <v>1.0800000000000001E-2</v>
      </c>
    </row>
    <row r="13" spans="2:4" ht="19.2" x14ac:dyDescent="0.45">
      <c r="B13" s="12" t="s">
        <v>4</v>
      </c>
      <c r="C13" s="13"/>
      <c r="D13" s="14">
        <f>FV(D12,D11*12,D10*-1)</f>
        <v>9554.3214521577283</v>
      </c>
    </row>
    <row r="14" spans="2:4" ht="19.8" thickBot="1" x14ac:dyDescent="0.5">
      <c r="B14" s="15" t="s">
        <v>5</v>
      </c>
      <c r="C14" s="16"/>
      <c r="D14" s="17">
        <f>D13*1%</f>
        <v>95.543214521577283</v>
      </c>
    </row>
    <row r="15" spans="2:4" ht="17.399999999999999" thickBot="1" x14ac:dyDescent="0.45">
      <c r="B15" s="8"/>
      <c r="C15" s="8"/>
      <c r="D15" s="8"/>
    </row>
    <row r="16" spans="2:4" ht="37.200000000000003" customHeight="1" x14ac:dyDescent="0.3">
      <c r="B16" s="18" t="s">
        <v>11</v>
      </c>
      <c r="C16" s="19"/>
      <c r="D16" s="20" t="s">
        <v>12</v>
      </c>
    </row>
    <row r="17" spans="1:8" ht="19.2" x14ac:dyDescent="0.45">
      <c r="A17" s="2">
        <v>2</v>
      </c>
      <c r="B17" s="30" t="s">
        <v>6</v>
      </c>
      <c r="C17" s="31">
        <f>FV(D12,A17*12,D10*-1)</f>
        <v>20423.147745436192</v>
      </c>
      <c r="D17" s="32">
        <f>C17*D6</f>
        <v>204.23147745436194</v>
      </c>
    </row>
    <row r="18" spans="1:8" ht="19.2" x14ac:dyDescent="0.45">
      <c r="A18" s="2">
        <v>5</v>
      </c>
      <c r="B18" s="33" t="s">
        <v>7</v>
      </c>
      <c r="C18" s="34">
        <f>FV(D12,A18*12,D10*-1)</f>
        <v>62853.014519443823</v>
      </c>
      <c r="D18" s="35">
        <f>C18*D6</f>
        <v>628.53014519443821</v>
      </c>
    </row>
    <row r="19" spans="1:8" ht="19.2" x14ac:dyDescent="0.45">
      <c r="A19" s="2">
        <v>10</v>
      </c>
      <c r="B19" s="33" t="s">
        <v>8</v>
      </c>
      <c r="C19" s="34">
        <f>FV(D12,A19*12,D10*-1)</f>
        <v>182593.24969110006</v>
      </c>
      <c r="D19" s="35">
        <f>C19*D6</f>
        <v>1825.9324969110007</v>
      </c>
    </row>
    <row r="20" spans="1:8" ht="19.2" x14ac:dyDescent="0.45">
      <c r="A20" s="2">
        <v>20</v>
      </c>
      <c r="B20" s="33" t="s">
        <v>9</v>
      </c>
      <c r="C20" s="34">
        <f>FV(D12,A20*12,D10*-1)</f>
        <v>845286.74497389246</v>
      </c>
      <c r="D20" s="35">
        <f>C20*D6</f>
        <v>8452.8674497389256</v>
      </c>
      <c r="F20" t="s">
        <v>31</v>
      </c>
    </row>
    <row r="21" spans="1:8" ht="19.8" thickBot="1" x14ac:dyDescent="0.5">
      <c r="A21" s="2">
        <v>30</v>
      </c>
      <c r="B21" s="36" t="s">
        <v>10</v>
      </c>
      <c r="C21" s="37">
        <f>FV(D12,A21*12,D10*-1)</f>
        <v>3250428.6077375636</v>
      </c>
      <c r="D21" s="38">
        <f>C21*D6</f>
        <v>32504.286077375637</v>
      </c>
    </row>
    <row r="22" spans="1:8" ht="21.6" thickBot="1" x14ac:dyDescent="0.45">
      <c r="C22" s="41"/>
    </row>
    <row r="23" spans="1:8" ht="24.6" x14ac:dyDescent="0.55000000000000004">
      <c r="B23" s="42" t="s">
        <v>20</v>
      </c>
      <c r="C23" s="43" t="s">
        <v>18</v>
      </c>
      <c r="D23" s="44"/>
    </row>
    <row r="24" spans="1:8" ht="19.8" thickBot="1" x14ac:dyDescent="0.5">
      <c r="B24" s="45" t="s">
        <v>21</v>
      </c>
      <c r="C24" s="46">
        <f>aporte</f>
        <v>750</v>
      </c>
      <c r="D24" s="47"/>
      <c r="H24" s="4"/>
    </row>
    <row r="25" spans="1:8" ht="19.8" thickBot="1" x14ac:dyDescent="0.5">
      <c r="B25" s="40"/>
      <c r="C25" s="40"/>
      <c r="D25" s="40"/>
    </row>
    <row r="26" spans="1:8" ht="24.6" x14ac:dyDescent="0.55000000000000004">
      <c r="B26" s="51" t="s">
        <v>22</v>
      </c>
      <c r="C26" s="52" t="s">
        <v>23</v>
      </c>
      <c r="D26" s="53" t="s">
        <v>24</v>
      </c>
    </row>
    <row r="27" spans="1:8" ht="19.2" x14ac:dyDescent="0.45">
      <c r="B27" s="48" t="s">
        <v>25</v>
      </c>
      <c r="C27" s="49">
        <f>VLOOKUP($C$23&amp;"-"&amp;B27,Planilha_Apoio!$B:$E,4,FALSE)</f>
        <v>0.3</v>
      </c>
      <c r="D27" s="50">
        <f>C24*C27</f>
        <v>225</v>
      </c>
    </row>
    <row r="28" spans="1:8" ht="19.2" x14ac:dyDescent="0.45">
      <c r="B28" s="48" t="s">
        <v>26</v>
      </c>
      <c r="C28" s="49">
        <f>VLOOKUP($C$23&amp;"-"&amp;B28,Planilha_Apoio!$B:$E,4,FALSE)</f>
        <v>0.5</v>
      </c>
      <c r="D28" s="50">
        <f>C24*C28</f>
        <v>375</v>
      </c>
    </row>
    <row r="29" spans="1:8" ht="19.2" x14ac:dyDescent="0.45">
      <c r="B29" s="48" t="s">
        <v>27</v>
      </c>
      <c r="C29" s="49">
        <f>VLOOKUP($C$23&amp;"-"&amp;B29,Planilha_Apoio!$B:$E,4,FALSE)</f>
        <v>0.1</v>
      </c>
      <c r="D29" s="50">
        <f>C24*C29</f>
        <v>75</v>
      </c>
    </row>
    <row r="30" spans="1:8" ht="19.2" x14ac:dyDescent="0.45">
      <c r="B30" s="48" t="s">
        <v>28</v>
      </c>
      <c r="C30" s="49">
        <f>VLOOKUP($C$23&amp;"-"&amp;B30,Planilha_Apoio!$B:$E,4,FALSE)</f>
        <v>0.1</v>
      </c>
      <c r="D30" s="50">
        <f>C24*C30</f>
        <v>75</v>
      </c>
    </row>
    <row r="31" spans="1:8" ht="19.2" x14ac:dyDescent="0.45">
      <c r="B31" s="48" t="s">
        <v>29</v>
      </c>
      <c r="C31" s="49">
        <f>VLOOKUP($C$23&amp;"-"&amp;B31,Planilha_Apoio!$B:$E,4,FALSE)</f>
        <v>0</v>
      </c>
      <c r="D31" s="50">
        <f>C24*C31</f>
        <v>0</v>
      </c>
    </row>
    <row r="32" spans="1:8" ht="19.2" x14ac:dyDescent="0.45">
      <c r="B32" s="48" t="s">
        <v>30</v>
      </c>
      <c r="C32" s="49">
        <f>VLOOKUP($C$23&amp;"-"&amp;B32,Planilha_Apoio!$B:$E,4,FALSE)</f>
        <v>0</v>
      </c>
      <c r="D32" s="50">
        <f>C24*C32</f>
        <v>0</v>
      </c>
    </row>
    <row r="33" spans="2:4" ht="25.2" thickBot="1" x14ac:dyDescent="0.35">
      <c r="B33" s="54" t="s">
        <v>33</v>
      </c>
      <c r="C33" s="55"/>
      <c r="D33" s="56">
        <f>SUM(D27:D32)</f>
        <v>750</v>
      </c>
    </row>
    <row r="34" spans="2:4" x14ac:dyDescent="0.3">
      <c r="B34" s="1"/>
    </row>
    <row r="35" spans="2:4" x14ac:dyDescent="0.3">
      <c r="B35" s="1"/>
    </row>
  </sheetData>
  <mergeCells count="13">
    <mergeCell ref="C24:D24"/>
    <mergeCell ref="B11:C11"/>
    <mergeCell ref="B10:C10"/>
    <mergeCell ref="B13:C13"/>
    <mergeCell ref="B14:C14"/>
    <mergeCell ref="B12:C12"/>
    <mergeCell ref="C23:D23"/>
    <mergeCell ref="B7:C7"/>
    <mergeCell ref="B16:C16"/>
    <mergeCell ref="B4:D4"/>
    <mergeCell ref="B5:C5"/>
    <mergeCell ref="B6:C6"/>
    <mergeCell ref="B9:D9"/>
  </mergeCells>
  <dataValidations count="1">
    <dataValidation type="list" allowBlank="1" showInputMessage="1" showErrorMessage="1" sqref="C23" xr:uid="{ECC6D72F-58AD-4AE6-B7EB-41948E27DE4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7090-3352-4794-AD06-24DEFE500C81}">
  <dimension ref="B1:I35"/>
  <sheetViews>
    <sheetView showGridLines="0" zoomScale="80" zoomScaleNormal="80" workbookViewId="0">
      <selection activeCell="H15" sqref="H15"/>
    </sheetView>
  </sheetViews>
  <sheetFormatPr defaultRowHeight="14.4" x14ac:dyDescent="0.3"/>
  <cols>
    <col min="2" max="2" width="35.5546875" bestFit="1" customWidth="1"/>
    <col min="3" max="3" width="14.5546875" bestFit="1" customWidth="1"/>
    <col min="4" max="4" width="21.88671875" bestFit="1" customWidth="1"/>
    <col min="5" max="5" width="24.5546875" bestFit="1" customWidth="1"/>
    <col min="8" max="8" width="38.109375" customWidth="1"/>
  </cols>
  <sheetData>
    <row r="1" spans="2:9" ht="15" thickBot="1" x14ac:dyDescent="0.35"/>
    <row r="2" spans="2:9" ht="19.2" x14ac:dyDescent="0.45">
      <c r="B2" s="57" t="s">
        <v>32</v>
      </c>
      <c r="C2" s="58" t="s">
        <v>20</v>
      </c>
      <c r="D2" s="58" t="s">
        <v>22</v>
      </c>
      <c r="E2" s="59" t="s">
        <v>23</v>
      </c>
    </row>
    <row r="3" spans="2:9" ht="19.2" x14ac:dyDescent="0.45">
      <c r="B3" s="60" t="str">
        <f>C3&amp;"-"&amp;D3</f>
        <v>Conservador-PAPEL</v>
      </c>
      <c r="C3" s="61" t="s">
        <v>18</v>
      </c>
      <c r="D3" s="62" t="s">
        <v>25</v>
      </c>
      <c r="E3" s="63">
        <v>0.3</v>
      </c>
    </row>
    <row r="4" spans="2:9" ht="19.2" x14ac:dyDescent="0.45">
      <c r="B4" s="60" t="str">
        <f t="shared" ref="B4:B22" si="0">C4&amp;"-"&amp;D4</f>
        <v>Conservador-TIJOLO</v>
      </c>
      <c r="C4" s="61" t="s">
        <v>18</v>
      </c>
      <c r="D4" s="62" t="s">
        <v>26</v>
      </c>
      <c r="E4" s="63">
        <v>0.5</v>
      </c>
    </row>
    <row r="5" spans="2:9" ht="19.2" x14ac:dyDescent="0.45">
      <c r="B5" s="60" t="str">
        <f t="shared" si="0"/>
        <v>Conservador-HÍBRIDOS</v>
      </c>
      <c r="C5" s="61" t="s">
        <v>18</v>
      </c>
      <c r="D5" s="62" t="s">
        <v>27</v>
      </c>
      <c r="E5" s="63">
        <v>0.1</v>
      </c>
    </row>
    <row r="6" spans="2:9" ht="19.2" x14ac:dyDescent="0.45">
      <c r="B6" s="60" t="str">
        <f t="shared" si="0"/>
        <v>Conservador-FOFs</v>
      </c>
      <c r="C6" s="61" t="s">
        <v>18</v>
      </c>
      <c r="D6" s="62" t="s">
        <v>28</v>
      </c>
      <c r="E6" s="63">
        <v>0.1</v>
      </c>
    </row>
    <row r="7" spans="2:9" ht="19.2" x14ac:dyDescent="0.45">
      <c r="B7" s="60" t="str">
        <f t="shared" si="0"/>
        <v>Conservador-DESENVOLVIMENTO</v>
      </c>
      <c r="C7" s="61" t="s">
        <v>18</v>
      </c>
      <c r="D7" s="62" t="s">
        <v>29</v>
      </c>
      <c r="E7" s="63">
        <v>0</v>
      </c>
    </row>
    <row r="8" spans="2:9" ht="19.2" x14ac:dyDescent="0.45">
      <c r="B8" s="60" t="str">
        <f t="shared" si="0"/>
        <v>Conservador-HOTELARIAS</v>
      </c>
      <c r="C8" s="61" t="s">
        <v>18</v>
      </c>
      <c r="D8" s="62" t="s">
        <v>30</v>
      </c>
      <c r="E8" s="63">
        <v>0</v>
      </c>
    </row>
    <row r="9" spans="2:9" ht="19.2" x14ac:dyDescent="0.45">
      <c r="B9" s="64"/>
      <c r="C9" s="65"/>
      <c r="D9" s="65"/>
      <c r="E9" s="66"/>
      <c r="H9" s="39"/>
    </row>
    <row r="10" spans="2:9" ht="19.2" x14ac:dyDescent="0.45">
      <c r="B10" s="60" t="str">
        <f t="shared" si="0"/>
        <v>Moderado-PAPEL</v>
      </c>
      <c r="C10" s="61" t="s">
        <v>19</v>
      </c>
      <c r="D10" s="62" t="s">
        <v>25</v>
      </c>
      <c r="E10" s="67">
        <v>0.32</v>
      </c>
    </row>
    <row r="11" spans="2:9" ht="19.2" x14ac:dyDescent="0.45">
      <c r="B11" s="60" t="str">
        <f t="shared" si="0"/>
        <v>Moderado-TIJOLO</v>
      </c>
      <c r="C11" s="61" t="s">
        <v>19</v>
      </c>
      <c r="D11" s="62" t="s">
        <v>26</v>
      </c>
      <c r="E11" s="67">
        <v>0.4</v>
      </c>
      <c r="H11" s="39"/>
      <c r="I11" s="3"/>
    </row>
    <row r="12" spans="2:9" ht="19.2" x14ac:dyDescent="0.45">
      <c r="B12" s="60" t="str">
        <f t="shared" si="0"/>
        <v>Moderado-HÍBRIDOS</v>
      </c>
      <c r="C12" s="61" t="s">
        <v>19</v>
      </c>
      <c r="D12" s="62" t="s">
        <v>27</v>
      </c>
      <c r="E12" s="67">
        <v>0.08</v>
      </c>
    </row>
    <row r="13" spans="2:9" ht="19.2" x14ac:dyDescent="0.45">
      <c r="B13" s="60" t="str">
        <f t="shared" si="0"/>
        <v>Moderado-FOFs</v>
      </c>
      <c r="C13" s="61" t="s">
        <v>19</v>
      </c>
      <c r="D13" s="62" t="s">
        <v>28</v>
      </c>
      <c r="E13" s="67">
        <v>0</v>
      </c>
    </row>
    <row r="14" spans="2:9" ht="19.2" x14ac:dyDescent="0.45">
      <c r="B14" s="60" t="str">
        <f t="shared" si="0"/>
        <v>Moderado-DESENVOLVIMENTO</v>
      </c>
      <c r="C14" s="61" t="s">
        <v>19</v>
      </c>
      <c r="D14" s="62" t="s">
        <v>29</v>
      </c>
      <c r="E14" s="67">
        <v>0.1</v>
      </c>
    </row>
    <row r="15" spans="2:9" ht="19.2" x14ac:dyDescent="0.45">
      <c r="B15" s="60" t="str">
        <f t="shared" si="0"/>
        <v>Moderado-HOTELARIAS</v>
      </c>
      <c r="C15" s="61" t="s">
        <v>19</v>
      </c>
      <c r="D15" s="62" t="s">
        <v>30</v>
      </c>
      <c r="E15" s="67">
        <v>0.1</v>
      </c>
      <c r="H15" s="4"/>
    </row>
    <row r="16" spans="2:9" ht="19.2" x14ac:dyDescent="0.45">
      <c r="B16" s="64"/>
      <c r="C16" s="65"/>
      <c r="D16" s="65"/>
      <c r="E16" s="66"/>
    </row>
    <row r="17" spans="2:5" ht="19.2" x14ac:dyDescent="0.45">
      <c r="B17" s="60" t="str">
        <f t="shared" si="0"/>
        <v>Agressivo-PAPEL</v>
      </c>
      <c r="C17" s="61" t="s">
        <v>17</v>
      </c>
      <c r="D17" s="62" t="s">
        <v>25</v>
      </c>
      <c r="E17" s="67">
        <v>0.5</v>
      </c>
    </row>
    <row r="18" spans="2:5" ht="19.2" x14ac:dyDescent="0.45">
      <c r="B18" s="60" t="str">
        <f t="shared" si="0"/>
        <v>Agressivo-TIJOLO</v>
      </c>
      <c r="C18" s="61" t="s">
        <v>17</v>
      </c>
      <c r="D18" s="62" t="s">
        <v>26</v>
      </c>
      <c r="E18" s="67">
        <v>0.1</v>
      </c>
    </row>
    <row r="19" spans="2:5" ht="19.2" x14ac:dyDescent="0.45">
      <c r="B19" s="60" t="str">
        <f t="shared" si="0"/>
        <v>Agressivo-HÍBRIDOS</v>
      </c>
      <c r="C19" s="61" t="s">
        <v>17</v>
      </c>
      <c r="D19" s="62" t="s">
        <v>27</v>
      </c>
      <c r="E19" s="67">
        <v>0.05</v>
      </c>
    </row>
    <row r="20" spans="2:5" ht="19.2" x14ac:dyDescent="0.45">
      <c r="B20" s="60" t="str">
        <f t="shared" si="0"/>
        <v>Agressivo-FOFs</v>
      </c>
      <c r="C20" s="61" t="s">
        <v>17</v>
      </c>
      <c r="D20" s="62" t="s">
        <v>28</v>
      </c>
      <c r="E20" s="67">
        <v>0.05</v>
      </c>
    </row>
    <row r="21" spans="2:5" ht="19.2" x14ac:dyDescent="0.45">
      <c r="B21" s="60" t="str">
        <f t="shared" si="0"/>
        <v>Agressivo-DESENVOLVIMENTO</v>
      </c>
      <c r="C21" s="61" t="s">
        <v>17</v>
      </c>
      <c r="D21" s="62" t="s">
        <v>29</v>
      </c>
      <c r="E21" s="67">
        <v>0.2</v>
      </c>
    </row>
    <row r="22" spans="2:5" ht="19.8" thickBot="1" x14ac:dyDescent="0.5">
      <c r="B22" s="68" t="str">
        <f t="shared" si="0"/>
        <v>Agressivo-HOTELARIAS</v>
      </c>
      <c r="C22" s="69" t="s">
        <v>17</v>
      </c>
      <c r="D22" s="70" t="s">
        <v>30</v>
      </c>
      <c r="E22" s="71">
        <v>0.1</v>
      </c>
    </row>
    <row r="23" spans="2:5" ht="15.6" x14ac:dyDescent="0.3">
      <c r="B23" s="39"/>
      <c r="C23" s="39"/>
      <c r="D23" s="39"/>
      <c r="E23" s="39"/>
    </row>
    <row r="24" spans="2:5" ht="15.6" x14ac:dyDescent="0.3">
      <c r="B24" s="39"/>
      <c r="C24" s="39"/>
      <c r="D24" s="39"/>
      <c r="E24" s="39"/>
    </row>
    <row r="25" spans="2:5" ht="15.6" x14ac:dyDescent="0.3">
      <c r="B25" s="39"/>
      <c r="C25" s="39"/>
      <c r="D25" s="39"/>
      <c r="E25" s="39"/>
    </row>
    <row r="26" spans="2:5" ht="15.6" x14ac:dyDescent="0.3">
      <c r="B26" s="39"/>
      <c r="C26" s="39"/>
      <c r="D26" s="39"/>
      <c r="E26" s="39"/>
    </row>
    <row r="27" spans="2:5" ht="15.6" x14ac:dyDescent="0.3">
      <c r="B27" s="39"/>
      <c r="C27" s="39"/>
      <c r="D27" s="39"/>
      <c r="E27" s="39"/>
    </row>
    <row r="28" spans="2:5" ht="15.6" x14ac:dyDescent="0.3">
      <c r="B28" s="39"/>
      <c r="C28" s="39"/>
      <c r="D28" s="39"/>
      <c r="E28" s="39"/>
    </row>
    <row r="29" spans="2:5" ht="15.6" x14ac:dyDescent="0.3">
      <c r="B29" s="39"/>
      <c r="C29" s="39"/>
      <c r="D29" s="39"/>
      <c r="E29" s="39"/>
    </row>
    <row r="30" spans="2:5" ht="15.6" x14ac:dyDescent="0.3">
      <c r="B30" s="39"/>
      <c r="C30" s="39"/>
      <c r="D30" s="39"/>
      <c r="E30" s="39"/>
    </row>
    <row r="31" spans="2:5" ht="15.6" x14ac:dyDescent="0.3">
      <c r="B31" s="39"/>
      <c r="C31" s="39"/>
      <c r="D31" s="39"/>
      <c r="E31" s="39"/>
    </row>
    <row r="32" spans="2:5" ht="15.6" x14ac:dyDescent="0.3">
      <c r="B32" s="39"/>
      <c r="C32" s="39"/>
      <c r="D32" s="39"/>
      <c r="E32" s="39"/>
    </row>
    <row r="33" spans="2:5" ht="15.6" x14ac:dyDescent="0.3">
      <c r="B33" s="39"/>
      <c r="C33" s="39"/>
      <c r="D33" s="39"/>
      <c r="E33" s="39"/>
    </row>
    <row r="34" spans="2:5" ht="15.6" x14ac:dyDescent="0.3">
      <c r="B34" s="39"/>
      <c r="C34" s="39"/>
      <c r="D34" s="39"/>
      <c r="E34" s="39"/>
    </row>
    <row r="35" spans="2:5" ht="15.6" x14ac:dyDescent="0.3">
      <c r="B35" s="39"/>
      <c r="C35" s="39"/>
      <c r="D35" s="39"/>
      <c r="E35" s="3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Planilha_Investimentos</vt:lpstr>
      <vt:lpstr>Planilha_Apoio</vt:lpstr>
      <vt:lpstr>anos</vt:lpstr>
      <vt:lpstr>aporte</vt:lpstr>
      <vt:lpstr>dividendos</vt:lpstr>
      <vt:lpstr>patrimonio</vt:lpstr>
      <vt:lpstr>redimentos_carteira</vt:lpstr>
      <vt:lpstr>rendimento_mensal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G Costa</dc:creator>
  <cp:lastModifiedBy>Fábio G Costa</cp:lastModifiedBy>
  <cp:lastPrinted>2026-10-18T03:35:47Z</cp:lastPrinted>
  <dcterms:created xsi:type="dcterms:W3CDTF">2026-10-17T16:31:26Z</dcterms:created>
  <dcterms:modified xsi:type="dcterms:W3CDTF">2026-10-18T03:41:56Z</dcterms:modified>
</cp:coreProperties>
</file>