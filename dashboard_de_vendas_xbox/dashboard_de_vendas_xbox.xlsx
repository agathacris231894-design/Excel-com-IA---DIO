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21310C00-CCD0-4159-8ED5-B223ABEF84A1}" xr6:coauthVersionLast="47" xr6:coauthVersionMax="47" xr10:uidLastSave="{00000000-0000-0000-0000-000000000000}"/>
  <bookViews>
    <workbookView xWindow="-108" yWindow="-108" windowWidth="23256" windowHeight="12456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1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27" i="3"/>
</calcChain>
</file>

<file path=xl/sharedStrings.xml><?xml version="1.0" encoding="utf-8"?>
<sst xmlns="http://schemas.openxmlformats.org/spreadsheetml/2006/main" count="2516" uniqueCount="327">
  <si>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</si>
  <si>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</si>
  <si>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</si>
  <si>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</si>
  <si>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</si>
  <si>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</si>
  <si>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</si>
  <si>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</si>
  <si>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</si>
  <si>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</si>
  <si>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</si>
  <si>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</si>
  <si>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</si>
  <si>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</si>
  <si>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</si>
  <si>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</si>
  <si>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</si>
  <si>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</si>
  <si>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</si>
  <si>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</si>
  <si>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</si>
  <si>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</si>
  <si>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</si>
  <si>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</si>
  <si>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</si>
  <si>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</si>
  <si>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</si>
  <si>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</si>
  <si>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</si>
  <si>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</si>
  <si>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</si>
  <si>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</si>
  <si>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</si>
  <si>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</si>
  <si>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</si>
  <si>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</si>
  <si>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</si>
  <si>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</si>
  <si>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</si>
  <si>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</si>
  <si>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</si>
  <si>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</si>
  <si>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</si>
  <si>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</si>
  <si>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</si>
  <si>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</si>
  <si>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</si>
  <si>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</si>
  <si>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</si>
  <si>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</si>
  <si>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</si>
  <si>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</si>
  <si>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</si>
  <si>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</si>
  <si>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</si>
  <si>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</si>
  <si>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</si>
  <si>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</si>
  <si>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</si>
  <si>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</si>
  <si>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</si>
  <si>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</si>
  <si>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</si>
  <si>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</si>
  <si>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</si>
  <si>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</si>
  <si>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</si>
  <si>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</si>
  <si>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</si>
  <si>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</si>
  <si>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</si>
  <si>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</si>
  <si>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</si>
  <si>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</si>
  <si>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</si>
  <si>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</si>
  <si>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</si>
  <si>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</si>
  <si>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</si>
  <si>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</si>
  <si>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</si>
  <si>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</si>
  <si>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</si>
  <si>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</si>
  <si>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</si>
  <si>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</si>
  <si>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</si>
  <si>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</si>
  <si>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</si>
  <si>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</si>
  <si>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</si>
  <si>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</si>
  <si>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</si>
  <si>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</si>
  <si>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</si>
  <si>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</si>
  <si>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</si>
  <si>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</si>
  <si>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</si>
  <si>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</si>
  <si>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</si>
  <si>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</si>
  <si>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</si>
  <si>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</si>
  <si>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</si>
  <si>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</si>
  <si>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</si>
  <si>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</si>
  <si>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</si>
  <si>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</si>
  <si>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</si>
  <si>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</si>
  <si>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</si>
  <si>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</si>
  <si>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</si>
  <si>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</si>
  <si>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</si>
  <si>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</si>
  <si>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</si>
  <si>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</si>
  <si>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</si>
  <si>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</si>
  <si>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</si>
  <si>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</si>
  <si>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</si>
  <si>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</si>
  <si>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</si>
  <si>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</si>
  <si>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</si>
  <si>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</si>
  <si>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</si>
  <si>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</si>
  <si>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</si>
  <si>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</si>
  <si>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</si>
  <si>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</si>
  <si>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</si>
  <si>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</si>
  <si>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</si>
  <si>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</si>
  <si>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</si>
  <si>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</si>
  <si>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</si>
  <si>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</si>
  <si>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</si>
  <si>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</si>
  <si>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</si>
  <si>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</si>
  <si>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</si>
  <si>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</si>
  <si>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</si>
  <si>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</si>
  <si>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</si>
  <si>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</si>
  <si>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</si>
  <si>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</si>
  <si>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</si>
  <si>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</si>
  <si>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</si>
  <si>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</si>
  <si>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</si>
  <si>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</si>
  <si>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</si>
  <si>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</si>
  <si>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</si>
  <si>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</si>
  <si>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</si>
  <si>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</si>
  <si>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</si>
  <si>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</si>
  <si>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</si>
  <si>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</si>
  <si>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</si>
  <si>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</si>
  <si>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</si>
  <si>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</si>
  <si>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</si>
  <si>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</si>
  <si>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</si>
  <si>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</si>
  <si>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</si>
  <si>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</si>
  <si>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</si>
  <si>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</si>
  <si>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</si>
  <si>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</si>
  <si>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</si>
  <si>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</si>
  <si>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</si>
  <si>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</si>
  <si>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</si>
  <si>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</si>
  <si>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</si>
  <si>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</si>
  <si>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</si>
  <si>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</si>
  <si>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</si>
  <si>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</si>
  <si>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</si>
  <si>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</si>
  <si>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</si>
  <si>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</si>
  <si>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</si>
  <si>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</si>
  <si>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</si>
  <si>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</si>
  <si>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</si>
  <si>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</si>
  <si>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</si>
  <si>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</si>
  <si>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</si>
  <si>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</si>
  <si>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</si>
  <si>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</si>
  <si>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</si>
  <si>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</si>
  <si>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</si>
  <si>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</si>
  <si>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</si>
  <si>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</si>
  <si>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</si>
  <si>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</si>
  <si>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</si>
  <si>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</si>
  <si>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</si>
  <si>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</si>
  <si>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</si>
  <si>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</si>
  <si>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</si>
  <si>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</si>
  <si>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</si>
  <si>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</si>
  <si>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</si>
  <si>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</si>
  <si>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</si>
  <si>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</si>
  <si>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</si>
  <si>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</si>
  <si>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</si>
  <si>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</si>
  <si>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</si>
  <si>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</si>
  <si>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</si>
  <si>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</si>
  <si>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</si>
  <si>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</si>
  <si>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</si>
  <si>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</si>
  <si>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</si>
  <si>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</si>
  <si>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</si>
  <si>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</si>
  <si>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</si>
  <si>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</si>
  <si>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</si>
  <si>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</si>
  <si>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</si>
  <si>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</si>
  <si>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</si>
  <si>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</si>
  <si>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</si>
  <si>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</si>
  <si>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</si>
  <si>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</si>
  <si>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</si>
  <si>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</si>
  <si>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</si>
  <si>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</si>
  <si>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</si>
  <si>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</si>
  <si>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</si>
  <si>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</si>
  <si>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</si>
  <si>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</si>
  <si>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</si>
  <si>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</si>
  <si>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</si>
  <si>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</si>
  <si>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</si>
  <si>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</si>
  <si>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</si>
  <si>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</si>
  <si>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</si>
  <si>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</si>
  <si>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</si>
  <si>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</si>
  <si>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</si>
  <si>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</si>
  <si>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</si>
  <si>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</si>
  <si>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</si>
  <si>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</si>
  <si>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</si>
  <si>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</si>
  <si>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</si>
  <si>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</si>
  <si>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</si>
  <si>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</si>
  <si>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</si>
  <si>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</si>
  <si>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</si>
  <si>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</si>
  <si>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</si>
  <si>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</si>
  <si>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</si>
  <si>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</si>
  <si>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</si>
  <si>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</si>
  <si>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</si>
  <si>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</si>
  <si>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</si>
  <si>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</si>
  <si>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</si>
  <si>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Respondida Através de Análise de Dados Específica</t>
  </si>
  <si>
    <t>Pergunta de Negócio 1 - Qual o Faturamento Total de Vendas de Planos Anuais (contendo todas as assinaturas agregadas)</t>
  </si>
  <si>
    <t xml:space="preserve"> </t>
  </si>
  <si>
    <t>Rótulos de Linha</t>
  </si>
  <si>
    <t>Total Geral</t>
  </si>
  <si>
    <t>Soma de Total Value</t>
  </si>
  <si>
    <t>Pergunta de Negócio 2 - Qual o Faturamento Total de Vnedas de Planos Anuais, separados por auto renovação e por não auto renovação</t>
  </si>
  <si>
    <t>XBOX GAMEPASS SUBSCRIPTION SALES</t>
  </si>
  <si>
    <t>Pergunta de Negócio 3 - Total de Vendas de Assinaturas do EA Play</t>
  </si>
  <si>
    <t>Soma de EA Play Season Pass</t>
  </si>
  <si>
    <t>Pergunta de Negócio 4 - Total de Vendas de Assinaturas do Minecraft</t>
  </si>
  <si>
    <t>Soma de Minecraft Season Pass Price</t>
  </si>
  <si>
    <t>Detalhes do Soma de Minecraft Season Pass Price - Subscription Type: Annual</t>
  </si>
  <si>
    <t>Período de Apuração: 01/01/2026 - 31/12/2026 | Update Date: 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</si>
</sst>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rgb="FF9C570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30"/>
      <color rgb="FF22C55E"/>
      <name val="Segoe UI"/>
      <family val="2"/>
    </font>
    <font>
      <sz val="16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/>
    <xf numFmtId="0" fontId="5" fillId="8" borderId="0" xfId="3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pivotButton="1" applyFont="1"/>
    <xf numFmtId="0" fontId="6" fillId="0" borderId="0" xfId="0" applyFont="1" applyAlignment="1"/>
    <xf numFmtId="0" fontId="6" fillId="0" borderId="0" xfId="0" applyFont="1" applyAlignment="1">
      <alignment horizontal="left"/>
    </xf>
    <xf numFmtId="44" fontId="6" fillId="0" borderId="0" xfId="0" applyNumberFormat="1" applyFont="1"/>
    <xf numFmtId="0" fontId="6" fillId="4" borderId="0" xfId="0" applyFont="1" applyFill="1" applyAlignment="1">
      <alignment horizontal="left"/>
    </xf>
    <xf numFmtId="44" fontId="6" fillId="4" borderId="0" xfId="0" applyNumberFormat="1" applyFont="1" applyFill="1"/>
    <xf numFmtId="0" fontId="0" fillId="9" borderId="0" xfId="0" applyFill="1"/>
    <xf numFmtId="0" fontId="6" fillId="0" borderId="0" xfId="0" applyNumberFormat="1" applyFont="1"/>
    <xf numFmtId="0" fontId="6" fillId="4" borderId="0" xfId="0" applyNumberFormat="1" applyFont="1" applyFill="1"/>
    <xf numFmtId="0" fontId="0" fillId="0" borderId="0" xfId="0" applyBorder="1" applyAlignment="1"/>
    <xf numFmtId="0" fontId="7" fillId="0" borderId="0" xfId="0" applyNumberFormat="1" applyFont="1" applyFill="1" applyBorder="1"/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 shrinkToFit="1"/>
    </xf>
    <xf numFmtId="0" fontId="6" fillId="4" borderId="0" xfId="0" applyFont="1" applyFill="1" applyAlignment="1">
      <alignment horizontal="center" vertical="center" shrinkToFit="1"/>
    </xf>
    <xf numFmtId="14" fontId="0" fillId="0" borderId="0" xfId="0" applyNumberFormat="1"/>
    <xf numFmtId="0" fontId="3" fillId="0" borderId="0" xfId="0" applyFont="1"/>
    <xf numFmtId="165" fontId="0" fillId="0" borderId="0" xfId="0" applyNumberFormat="1" applyAlignment="1"/>
    <xf numFmtId="0" fontId="8" fillId="9" borderId="2" xfId="1" applyFont="1" applyFill="1" applyBorder="1" applyAlignment="1">
      <alignment horizontal="left" vertical="center"/>
    </xf>
    <xf numFmtId="0" fontId="8" fillId="9" borderId="0" xfId="1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 indent="10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80">
    <dxf>
      <font>
        <b/>
        <i val="0"/>
        <strike val="0"/>
        <sz val="20"/>
        <color theme="0"/>
        <name val="Segoe UI"/>
        <family val="2"/>
        <scheme val="none"/>
      </font>
    </dxf>
    <dxf>
      <font>
        <b val="0"/>
        <i val="0"/>
        <sz val="16"/>
        <name val="SEG"/>
      </font>
      <fill>
        <patternFill>
          <bgColor rgb="FF22C55E"/>
        </patternFill>
      </fill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numFmt numFmtId="0" formatCode="General"/>
    </dxf>
    <dxf>
      <alignment wrapText="1" shrinkToFi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numFmt numFmtId="0" formatCode="General"/>
    </dxf>
    <dxf>
      <alignment wrapText="1" shrinkToFi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alignment shrinkToFi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3" pivot="0" table="0" count="10" xr9:uid="{37C277EB-75F1-4860-9C01-207580762559}">
      <tableStyleElement type="wholeTable" dxfId="1"/>
      <tableStyleElement type="headerRow" dxfId="0"/>
    </tableStyle>
  </tableStyles>
  <colors>
    <mruColors>
      <color rgb="FFE8E6E9"/>
      <color rgb="FFEDEDED"/>
      <color rgb="FFE0E0E0"/>
      <color rgb="FF22C55E"/>
      <color rgb="FF5BF6A8"/>
      <color rgb="FFFFFFFF"/>
      <color rgb="FF99FF66"/>
      <color rgb="FF33CC33"/>
      <color rgb="FFF7F8FC"/>
      <color rgb="FF000000"/>
    </mruColors>
  </colors>
  <extLst>
    <ext xmlns:x14="http://schemas.microsoft.com/office/spreadsheetml/2009/9/main" uri="{46F421CA-312F-682f-3DD2-61675219B42D}">
      <x14:dxfs count="8">
        <dxf>
          <font>
            <sz val="16"/>
          </font>
          <fill>
            <patternFill>
              <bgColor rgb="FF5BF6A8"/>
            </patternFill>
          </fill>
        </dxf>
        <dxf>
          <font>
            <sz val="16"/>
          </font>
          <fill>
            <patternFill>
              <bgColor rgb="FF5BF6A8"/>
            </patternFill>
          </fill>
        </dxf>
        <dxf>
          <font>
            <sz val="16"/>
          </font>
          <fill>
            <patternFill>
              <bgColor rgb="FF5BF6A8"/>
            </patternFill>
          </fill>
        </dxf>
        <dxf>
          <font>
            <sz val="16"/>
          </font>
          <fill>
            <patternFill>
              <bgColor rgb="FF5BF6A8"/>
            </patternFill>
          </fill>
        </dxf>
        <dxf>
          <font>
            <b val="0"/>
            <i val="0"/>
            <sz val="16"/>
            <name val="Segoe UI"/>
            <family val="2"/>
          </font>
          <fill>
            <patternFill>
              <bgColor rgb="FFFFFFFF"/>
            </patternFill>
          </fill>
        </dxf>
        <dxf>
          <font>
            <b val="0"/>
            <i val="0"/>
            <sz val="16"/>
            <name val="Segoe UI"/>
            <family val="2"/>
            <scheme val="none"/>
          </font>
          <fill>
            <patternFill>
              <bgColor rgb="FF5BF6A8"/>
            </patternFill>
          </fill>
        </dxf>
        <dxf>
          <font>
            <sz val="16"/>
          </font>
          <fill>
            <patternFill>
              <bgColor theme="0"/>
            </patternFill>
          </fill>
        </dxf>
        <dxf>
          <font>
            <sz val="16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[dashboard_de_vendas_xbox.xlsx]C̳álculos!Tabela dinâmica1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8-45C4-B324-CA659251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157528"/>
        <c:axId val="564160768"/>
      </c:barChart>
      <c:catAx>
        <c:axId val="56415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160768"/>
        <c:crosses val="autoZero"/>
        <c:auto val="1"/>
        <c:lblAlgn val="ctr"/>
        <c:lblOffset val="100"/>
        <c:noMultiLvlLbl val="0"/>
      </c:catAx>
      <c:valAx>
        <c:axId val="5641607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6415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[dashboard_de_vendas_xbox.xlsx]C̳álculos!Tabela dinâmica1</c:name>
    <c:fmtId val="1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>
                  <a:latin typeface="Segoe UI" panose="020B05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1-4C3A-AF04-600275A4C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157528"/>
        <c:axId val="564160768"/>
      </c:barChart>
      <c:catAx>
        <c:axId val="564157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160768"/>
        <c:crosses val="autoZero"/>
        <c:auto val="1"/>
        <c:lblAlgn val="ctr"/>
        <c:lblOffset val="100"/>
        <c:noMultiLvlLbl val="0"/>
      </c:catAx>
      <c:valAx>
        <c:axId val="5641607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64157528"/>
        <c:crosses val="autoZero"/>
        <c:crossBetween val="between"/>
      </c:valAx>
      <c:spPr>
        <a:noFill/>
        <a:effectLst/>
      </c:spPr>
    </c:plotArea>
    <c:plotVisOnly val="1"/>
    <c:dispBlanksAs val="gap"/>
    <c:showDLblsOverMax val="0"/>
  </c:chart>
  <c:spPr>
    <a:noFill/>
    <a:ln w="190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346710</xdr:colOff>
      <xdr:row>21</xdr:row>
      <xdr:rowOff>180975</xdr:rowOff>
    </xdr:from>
    <xdr:to>
      <xdr:col>3</xdr:col>
      <xdr:colOff>346710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" y="41890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4</xdr:col>
      <xdr:colOff>150495</xdr:colOff>
      <xdr:row>22</xdr:row>
      <xdr:rowOff>53339</xdr:rowOff>
    </xdr:from>
    <xdr:to>
      <xdr:col>6</xdr:col>
      <xdr:colOff>480771</xdr:colOff>
      <xdr:row>26</xdr:row>
      <xdr:rowOff>43815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588895" y="4298768"/>
          <a:ext cx="1549476" cy="730704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53340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53340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288324</xdr:colOff>
      <xdr:row>9</xdr:row>
      <xdr:rowOff>206150</xdr:rowOff>
    </xdr:from>
    <xdr:to>
      <xdr:col>6</xdr:col>
      <xdr:colOff>2512540</xdr:colOff>
      <xdr:row>15</xdr:row>
      <xdr:rowOff>236838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03B63D-26B8-13FB-3E6A-1365022A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653864</xdr:colOff>
      <xdr:row>9</xdr:row>
      <xdr:rowOff>169493</xdr:rowOff>
    </xdr:from>
    <xdr:to>
      <xdr:col>4</xdr:col>
      <xdr:colOff>2697892</xdr:colOff>
      <xdr:row>15</xdr:row>
      <xdr:rowOff>195649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D15DD6E2-9CB5-CDD3-9D08-603C4E2FF4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3207" y="2107150"/>
              <a:ext cx="2044028" cy="1463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479734</xdr:colOff>
      <xdr:row>0</xdr:row>
      <xdr:rowOff>540327</xdr:rowOff>
    </xdr:from>
    <xdr:to>
      <xdr:col>8</xdr:col>
      <xdr:colOff>337457</xdr:colOff>
      <xdr:row>0</xdr:row>
      <xdr:rowOff>2046515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14D3C882-A0DB-48D8-BA24-557DF075F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0791" y="540327"/>
              <a:ext cx="3482666" cy="1506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70369</xdr:colOff>
      <xdr:row>1</xdr:row>
      <xdr:rowOff>87086</xdr:rowOff>
    </xdr:from>
    <xdr:to>
      <xdr:col>1</xdr:col>
      <xdr:colOff>43543</xdr:colOff>
      <xdr:row>2</xdr:row>
      <xdr:rowOff>50508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450D91F-2F86-4F74-8175-541405E56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516" b="-8106"/>
        <a:stretch>
          <a:fillRect/>
        </a:stretch>
      </xdr:blipFill>
      <xdr:spPr>
        <a:xfrm>
          <a:off x="70369" y="2590800"/>
          <a:ext cx="582774" cy="573022"/>
        </a:xfrm>
        <a:prstGeom prst="rect">
          <a:avLst/>
        </a:prstGeom>
      </xdr:spPr>
    </xdr:pic>
    <xdr:clientData/>
  </xdr:twoCellAnchor>
  <xdr:twoCellAnchor>
    <xdr:from>
      <xdr:col>1</xdr:col>
      <xdr:colOff>325175</xdr:colOff>
      <xdr:row>4</xdr:row>
      <xdr:rowOff>156475</xdr:rowOff>
    </xdr:from>
    <xdr:to>
      <xdr:col>8</xdr:col>
      <xdr:colOff>405857</xdr:colOff>
      <xdr:row>24</xdr:row>
      <xdr:rowOff>4075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3D40E43F-497F-1725-6B24-3F3A1F5715DB}"/>
            </a:ext>
          </a:extLst>
        </xdr:cNvPr>
        <xdr:cNvGrpSpPr/>
      </xdr:nvGrpSpPr>
      <xdr:grpSpPr>
        <a:xfrm>
          <a:off x="934775" y="3737875"/>
          <a:ext cx="5567082" cy="3429000"/>
          <a:chOff x="934775" y="3389532"/>
          <a:chExt cx="5567082" cy="3058886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D28B47E0-EDF8-A668-799D-CBE6EEC08301}"/>
              </a:ext>
            </a:extLst>
          </xdr:cNvPr>
          <xdr:cNvGrpSpPr/>
        </xdr:nvGrpSpPr>
        <xdr:grpSpPr>
          <a:xfrm>
            <a:off x="934775" y="3389532"/>
            <a:ext cx="5567082" cy="3058886"/>
            <a:chOff x="934775" y="3389532"/>
            <a:chExt cx="5567082" cy="3058886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E05E43F3-3166-1497-6F8F-13EAA3898606}"/>
                </a:ext>
              </a:extLst>
            </xdr:cNvPr>
            <xdr:cNvSpPr/>
          </xdr:nvSpPr>
          <xdr:spPr>
            <a:xfrm>
              <a:off x="934775" y="3389532"/>
              <a:ext cx="5567082" cy="3058886"/>
            </a:xfrm>
            <a:prstGeom prst="roundRect">
              <a:avLst/>
            </a:prstGeom>
            <a:solidFill>
              <a:srgbClr val="FFFFFF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7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917E2B67-E383-4C1F-9D85-CCAD6080BED0}"/>
                </a:ext>
              </a:extLst>
            </xdr:cNvPr>
            <xdr:cNvSpPr/>
          </xdr:nvSpPr>
          <xdr:spPr>
            <a:xfrm>
              <a:off x="947056" y="3407229"/>
              <a:ext cx="5551715" cy="99060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2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F27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460DD533-1D36-4DBC-9A47-20D7A6681748}"/>
              </a:ext>
            </a:extLst>
          </xdr:cNvPr>
          <xdr:cNvSpPr/>
        </xdr:nvSpPr>
        <xdr:spPr>
          <a:xfrm>
            <a:off x="3763195" y="4860198"/>
            <a:ext cx="1768433" cy="925284"/>
          </a:xfrm>
          <a:prstGeom prst="round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B31F834-F552-4DC8-AE47-91442074A170}" type="TxLink">
              <a: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372F0F78-18AE-407B-99AF-88B486B6A2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16178" y="4722591"/>
            <a:ext cx="1216231" cy="1200496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511222</xdr:colOff>
      <xdr:row>4</xdr:row>
      <xdr:rowOff>156477</xdr:rowOff>
    </xdr:from>
    <xdr:to>
      <xdr:col>28</xdr:col>
      <xdr:colOff>608728</xdr:colOff>
      <xdr:row>23</xdr:row>
      <xdr:rowOff>114301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A3D872A6-DA1E-6CF3-F6B3-317B4B6366FC}"/>
            </a:ext>
          </a:extLst>
        </xdr:cNvPr>
        <xdr:cNvSpPr/>
      </xdr:nvSpPr>
      <xdr:spPr>
        <a:xfrm>
          <a:off x="13160422" y="3394977"/>
          <a:ext cx="5583906" cy="3062974"/>
        </a:xfrm>
        <a:prstGeom prst="roundRect">
          <a:avLst/>
        </a:prstGeom>
        <a:solidFill>
          <a:srgbClr val="FFFFFF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315279</xdr:colOff>
      <xdr:row>4</xdr:row>
      <xdr:rowOff>156476</xdr:rowOff>
    </xdr:from>
    <xdr:to>
      <xdr:col>18</xdr:col>
      <xdr:colOff>576071</xdr:colOff>
      <xdr:row>23</xdr:row>
      <xdr:rowOff>184185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6EE22176-C539-45CD-6E81-B59F9F9FE1B1}"/>
            </a:ext>
          </a:extLst>
        </xdr:cNvPr>
        <xdr:cNvGrpSpPr/>
      </xdr:nvGrpSpPr>
      <xdr:grpSpPr>
        <a:xfrm>
          <a:off x="7020879" y="3737876"/>
          <a:ext cx="5583906" cy="3424052"/>
          <a:chOff x="7020879" y="3389533"/>
          <a:chExt cx="5583906" cy="3053938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1A4EA875-8E4E-B69F-D93F-CDD1D9D9A196}"/>
              </a:ext>
            </a:extLst>
          </xdr:cNvPr>
          <xdr:cNvGrpSpPr/>
        </xdr:nvGrpSpPr>
        <xdr:grpSpPr>
          <a:xfrm>
            <a:off x="7020879" y="3389533"/>
            <a:ext cx="5583906" cy="3053938"/>
            <a:chOff x="7020879" y="3389533"/>
            <a:chExt cx="5583906" cy="3053938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69315E0F-0B92-7C50-773C-60357945447A}"/>
                </a:ext>
              </a:extLst>
            </xdr:cNvPr>
            <xdr:cNvSpPr/>
          </xdr:nvSpPr>
          <xdr:spPr>
            <a:xfrm>
              <a:off x="7020879" y="3389533"/>
              <a:ext cx="5583906" cy="3053938"/>
            </a:xfrm>
            <a:prstGeom prst="roundRect">
              <a:avLst/>
            </a:prstGeom>
            <a:solidFill>
              <a:srgbClr val="FFFFFF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7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E3D90936-E052-4D66-A1A5-CD25306C6C41}"/>
                </a:ext>
              </a:extLst>
            </xdr:cNvPr>
            <xdr:cNvSpPr/>
          </xdr:nvSpPr>
          <xdr:spPr>
            <a:xfrm>
              <a:off x="7032172" y="3396344"/>
              <a:ext cx="5562600" cy="1001485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2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5675B0EF-6266-EEA6-60F8-7C5FECCF729E}"/>
              </a:ext>
            </a:extLst>
          </xdr:cNvPr>
          <xdr:cNvGrpSpPr/>
        </xdr:nvGrpSpPr>
        <xdr:grpSpPr>
          <a:xfrm>
            <a:off x="7928907" y="4844483"/>
            <a:ext cx="3767850" cy="925284"/>
            <a:chOff x="7842548" y="4844483"/>
            <a:chExt cx="3767850" cy="925284"/>
          </a:xfrm>
        </xdr:grpSpPr>
        <xdr:sp macro="" textlink="C̳álculos!F37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ADFA6D4B-4A6A-4C82-B6A4-507C68660542}"/>
                </a:ext>
              </a:extLst>
            </xdr:cNvPr>
            <xdr:cNvSpPr/>
          </xdr:nvSpPr>
          <xdr:spPr>
            <a:xfrm>
              <a:off x="9841965" y="4844483"/>
              <a:ext cx="1768433" cy="925284"/>
            </a:xfrm>
            <a:prstGeom prst="roundRect">
              <a:avLst/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CE06796-77F5-4AF6-962F-9179C8225F53}" type="TxLink">
                <a:rPr lang="en-US" sz="20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R$ 940,00</a:t>
              </a:fld>
              <a:endPara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26" name="Agrupar 25">
              <a:extLst>
                <a:ext uri="{FF2B5EF4-FFF2-40B4-BE49-F238E27FC236}">
                  <a16:creationId xmlns:a16="http://schemas.microsoft.com/office/drawing/2014/main" id="{AE3E3385-EE17-4CEB-877D-8D75305C67E1}"/>
                </a:ext>
              </a:extLst>
            </xdr:cNvPr>
            <xdr:cNvGrpSpPr/>
          </xdr:nvGrpSpPr>
          <xdr:grpSpPr>
            <a:xfrm>
              <a:off x="7842548" y="4913705"/>
              <a:ext cx="1549476" cy="721996"/>
              <a:chOff x="3495675" y="5400674"/>
              <a:chExt cx="1549476" cy="752476"/>
            </a:xfrm>
          </xdr:grpSpPr>
          <xdr:pic>
            <xdr:nvPicPr>
              <xdr:cNvPr id="27" name="Imagem 26">
                <a:extLst>
                  <a:ext uri="{FF2B5EF4-FFF2-40B4-BE49-F238E27FC236}">
                    <a16:creationId xmlns:a16="http://schemas.microsoft.com/office/drawing/2014/main" id="{D78886DA-FF97-BDDD-8A10-D341B5C3B5D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8" name="Gráfico 27">
                <a:extLst>
                  <a:ext uri="{FF2B5EF4-FFF2-40B4-BE49-F238E27FC236}">
                    <a16:creationId xmlns:a16="http://schemas.microsoft.com/office/drawing/2014/main" id="{E186D052-462D-D67F-B3A8-C96A7A58931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19</xdr:col>
      <xdr:colOff>533401</xdr:colOff>
      <xdr:row>4</xdr:row>
      <xdr:rowOff>141515</xdr:rowOff>
    </xdr:from>
    <xdr:to>
      <xdr:col>29</xdr:col>
      <xdr:colOff>1</xdr:colOff>
      <xdr:row>25</xdr:row>
      <xdr:rowOff>21772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02E92302-0F08-54E1-CAF5-DA8831EC9AC0}"/>
            </a:ext>
          </a:extLst>
        </xdr:cNvPr>
        <xdr:cNvGrpSpPr/>
      </xdr:nvGrpSpPr>
      <xdr:grpSpPr>
        <a:xfrm>
          <a:off x="13171715" y="3722915"/>
          <a:ext cx="5562600" cy="3646714"/>
          <a:chOff x="13171715" y="3374572"/>
          <a:chExt cx="5562600" cy="3276600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37FE0C16-96B2-9FB7-052B-84C8B8E89547}"/>
              </a:ext>
            </a:extLst>
          </xdr:cNvPr>
          <xdr:cNvGraphicFramePr>
            <a:graphicFrameLocks/>
          </xdr:cNvGraphicFramePr>
        </xdr:nvGraphicFramePr>
        <xdr:xfrm>
          <a:off x="13408716" y="4299857"/>
          <a:ext cx="5221653" cy="2351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C̳álculos!F27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327A6FB7-2A88-4FBA-A808-310C6F72F24F}"/>
              </a:ext>
            </a:extLst>
          </xdr:cNvPr>
          <xdr:cNvSpPr/>
        </xdr:nvSpPr>
        <xdr:spPr>
          <a:xfrm>
            <a:off x="13171715" y="3374572"/>
            <a:ext cx="5562600" cy="100148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2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576942</xdr:colOff>
      <xdr:row>0</xdr:row>
      <xdr:rowOff>381000</xdr:rowOff>
    </xdr:from>
    <xdr:to>
      <xdr:col>2</xdr:col>
      <xdr:colOff>533401</xdr:colOff>
      <xdr:row>0</xdr:row>
      <xdr:rowOff>1850572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068FD7A-B6EA-4D97-BF86-5C2BE2AEE8EC}"/>
            </a:ext>
          </a:extLst>
        </xdr:cNvPr>
        <xdr:cNvSpPr/>
      </xdr:nvSpPr>
      <xdr:spPr>
        <a:xfrm>
          <a:off x="576942" y="381000"/>
          <a:ext cx="1654630" cy="146957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511628</xdr:colOff>
      <xdr:row>0</xdr:row>
      <xdr:rowOff>1915885</xdr:rowOff>
    </xdr:from>
    <xdr:to>
      <xdr:col>3</xdr:col>
      <xdr:colOff>304800</xdr:colOff>
      <xdr:row>0</xdr:row>
      <xdr:rowOff>2242457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FC6FE393-D9AF-1527-7233-13D95F9EE9EA}"/>
            </a:ext>
          </a:extLst>
        </xdr:cNvPr>
        <xdr:cNvSpPr txBox="1"/>
      </xdr:nvSpPr>
      <xdr:spPr>
        <a:xfrm>
          <a:off x="511628" y="1915885"/>
          <a:ext cx="2264229" cy="326572"/>
        </a:xfrm>
        <a:prstGeom prst="rect">
          <a:avLst/>
        </a:prstGeom>
        <a:solidFill>
          <a:srgbClr val="22C55E"/>
        </a:solidFill>
        <a:ln w="9525" cmpd="sng">
          <a:solidFill>
            <a:srgbClr val="22C55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Íris!</a:t>
          </a:r>
          <a:endParaRPr lang="pt-BR" sz="18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Guilherme da Costa" refreshedDate="46313.754335879632" createdVersion="8" refreshedVersion="8" minRefreshableVersion="3" recordCount="295" xr:uid="{34448246-E1DF-4BFF-B80F-05ED19F1CE1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163364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90B0E-0F3D-46B6-9609-60F5C0CA7841}" name="Tabela dinâmica5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C33:D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21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4" type="button" dataOnly="0" labelOnly="1" outline="0"/>
    </format>
    <format dxfId="26">
      <pivotArea dataOnly="0" labelOnly="1" grandRow="1" outline="0" fieldPosition="0"/>
    </format>
    <format dxfId="27">
      <pivotArea dataOnly="0" labelOnly="1" outline="0" axis="axisValues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4" type="button" dataOnly="0" labelOnly="1" outline="0"/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field="4" type="button" dataOnly="0" labelOnly="1" outline="0"/>
    </format>
    <format dxfId="34">
      <pivotArea dataOnly="0" labelOnly="1" outline="0" axis="axisValues" fieldPosition="0"/>
    </format>
    <format dxfId="35">
      <pivotArea grandRow="1" outline="0" collapsedLevelsAreSubtotals="1" fieldPosition="0"/>
    </format>
    <format dxfId="36">
      <pivotArea dataOnly="0" labelOnly="1" grandRow="1" outline="0" fieldPosition="0"/>
    </format>
    <format dxfId="37">
      <pivotArea field="2" type="button" dataOnly="0" labelOnly="1" outline="0" axis="axisRow" fieldPosition="0"/>
    </format>
    <format dxfId="38">
      <pivotArea outline="0" collapsedLevelsAreSubtotals="1" fieldPosition="0"/>
    </format>
    <format dxfId="39">
      <pivotArea dataOnly="0" labelOnly="1" outline="0" axis="axisValues" fieldPosition="0"/>
    </format>
    <format dxfId="40">
      <pivotArea field="2" type="button" dataOnly="0" labelOnly="1" outline="0" axis="axisRow" fieldPosition="0"/>
    </format>
    <format dxfId="41">
      <pivotArea dataOnly="0" labelOnly="1" outline="0" axis="axisValues" fieldPosition="0"/>
    </format>
    <format dxfId="42">
      <pivotArea field="2" type="button" dataOnly="0" labelOnly="1" outline="0" axis="axisRow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6B012-2C6A-4BED-BCD9-EA0ACAA7DA7A}" name="Tabela dinâmica4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>
  <location ref="C23:D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21"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/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4" type="button" dataOnly="0" labelOnly="1" outline="0"/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field="4" type="button" dataOnly="0" labelOnly="1" outline="0"/>
    </format>
    <format dxfId="13">
      <pivotArea dataOnly="0" labelOnly="1" outline="0" axis="axisValues" fieldPosition="0"/>
    </format>
    <format dxfId="14">
      <pivotArea grandRow="1" outline="0" collapsedLevelsAreSubtotals="1" fieldPosition="0"/>
    </format>
    <format dxfId="15">
      <pivotArea dataOnly="0" labelOnly="1" grandRow="1" outline="0" fieldPosition="0"/>
    </format>
    <format dxfId="16">
      <pivotArea field="2" type="button" dataOnly="0" labelOnly="1" outline="0" axis="axisRow" fieldPosition="0"/>
    </format>
    <format dxfId="17">
      <pivotArea outline="0" collapsedLevelsAreSubtotals="1" fieldPosition="0"/>
    </format>
    <format dxfId="18">
      <pivotArea dataOnly="0" labelOnly="1" outline="0" axis="axisValues" fieldPosition="0"/>
    </format>
    <format dxfId="19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21">
      <pivotArea field="2" type="button" dataOnly="0" labelOnly="1" outline="0" axis="axisRow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7234E-5C82-4786-8CA1-524EA8ED16A8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C13:D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21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4" type="button" dataOnly="0" labelOnly="1" outline="0" axis="axisRow" fieldPosition="0"/>
    </format>
    <format dxfId="47">
      <pivotArea dataOnly="0" labelOnly="1" fieldPosition="0">
        <references count="1">
          <reference field="4" count="0"/>
        </references>
      </pivotArea>
    </format>
    <format dxfId="48">
      <pivotArea dataOnly="0" labelOnly="1" grandRow="1" outline="0" fieldPosition="0"/>
    </format>
    <format dxfId="49">
      <pivotArea dataOnly="0" labelOnly="1" outline="0" axis="axisValues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4" type="button" dataOnly="0" labelOnly="1" outline="0" axis="axisRow" fieldPosition="0"/>
    </format>
    <format dxfId="53">
      <pivotArea dataOnly="0" labelOnly="1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field="4" type="button" dataOnly="0" labelOnly="1" outline="0" axis="axisRow" fieldPosition="0"/>
    </format>
    <format dxfId="57">
      <pivotArea dataOnly="0" labelOnly="1" outline="0" axis="axisValues" fieldPosition="0"/>
    </format>
    <format dxfId="58">
      <pivotArea grandRow="1" outline="0" collapsedLevelsAreSubtotals="1" fieldPosition="0"/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61">
      <pivotArea field="4" type="button" dataOnly="0" labelOnly="1" outline="0" axis="axisRow" fieldPosition="0"/>
    </format>
    <format dxfId="62">
      <pivotArea dataOnly="0" labelOnly="1" outline="0" axis="axisValues" fieldPosition="0"/>
    </format>
    <format dxfId="63">
      <pivotArea field="4" type="button" dataOnly="0" labelOnly="1" outline="0" axis="axisRow" fieldPosition="0"/>
    </format>
    <format dxfId="6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EC5469B-16D0-4044-A663-076DDA7357E8}" sourceName="Subscription Type">
  <pivotTables>
    <pivotTable tabId="3" name="Tabela dinâmica1"/>
    <pivotTable tabId="3" name="Tabela dinâmica4"/>
    <pivotTable tabId="3" name="Tabela dinâmica5"/>
  </pivotTables>
  <data>
    <tabular pivotCacheId="71633649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D8D940C-6636-44EA-A98E-457E19602C26}" cache="SegmentaçãodeDados_Subscription_Type" caption="Subscription Type" style="SlicerStyleLight3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8694C9B-557C-4211-9921-69B3ABF31289}" cache="SegmentaçãodeDados_Subscription_Type" caption="Subscription Type" style="Estilo de Segmentação de Dados 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78"/>
    <tableColumn id="2" xr3:uid="{53DD39D0-2220-4121-9E9D-4EAA7E151C0F}" name="Name" dataDxfId="77"/>
    <tableColumn id="3" xr3:uid="{4F5FF271-4C57-4BE0-8F2C-F82C8551625C}" name="Plan" dataDxfId="76"/>
    <tableColumn id="4" xr3:uid="{8C17EB93-79B9-4E55-B8F7-BEB82F8253E9}" name="Start Date" dataDxfId="75"/>
    <tableColumn id="5" xr3:uid="{48CEDF9B-1689-482A-A828-5CCE7713264A}" name="Auto Renewal" dataDxfId="74"/>
    <tableColumn id="6" xr3:uid="{78B82374-9AA7-4E38-AE4F-78CDE6C83720}" name="Subscription Price" dataDxfId="73" dataCellStyle="Moeda"/>
    <tableColumn id="7" xr3:uid="{F2433F68-AF33-49D0-B1FB-19A396074EDE}" name="Subscription Type" dataDxfId="72"/>
    <tableColumn id="8" xr3:uid="{FD4D9C95-F6E5-4933-9068-A71FF7DF9343}" name="EA Play Season Pass" dataDxfId="71"/>
    <tableColumn id="13" xr3:uid="{978DD0D2-834E-4CE4-A39B-30976086932F}" name="EA Play Season Pass_x000a_Price" dataDxfId="70" dataCellStyle="Moeda"/>
    <tableColumn id="9" xr3:uid="{6E29F111-C395-4580-9DAD-3407D9E8B1A4}" name="Minecraft Season Pass" dataDxfId="69"/>
    <tableColumn id="10" xr3:uid="{EF544EAA-7F25-4FD5-A10E-8E62804DB9E3}" name="Minecraft Season Pass Price" dataDxfId="68" dataCellStyle="Moeda"/>
    <tableColumn id="11" xr3:uid="{7F6EB64A-1F07-4E48-9F0F-AC7D9DCD26F8}" name="Coupon Value" dataDxfId="67" dataCellStyle="Moeda"/>
    <tableColumn id="12" xr3:uid="{2B04ABC8-DE6F-426E-ADC0-D8AFC68CA58E}" name="Total Value" dataDxfId="66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9B3EF-B5B9-47C1-A319-C5B1740C7AB2}" name="Tabela2" displayName="Tabela2" ref="A3:M74" totalsRowShown="0">
  <autoFilter ref="A3:M74" xr:uid="{3549B3EF-B5B9-47C1-A319-C5B1740C7AB2}"/>
  <tableColumns count="13">
    <tableColumn id="1" xr3:uid="{4A4A8908-BF03-4A4E-93DA-6A397943FFB8}" name="Subscriber ID"/>
    <tableColumn id="2" xr3:uid="{9622D216-6C62-4FD5-8D6E-6ABB759978D6}" name="Name"/>
    <tableColumn id="3" xr3:uid="{937E23CC-E997-40CC-88E0-0CA13DBF7A14}" name="Plan"/>
    <tableColumn id="4" xr3:uid="{2173701D-5E5D-4C18-8A96-DBA434EB1BB4}" name="Start Date" dataDxfId="65"/>
    <tableColumn id="5" xr3:uid="{6A0E689F-7C54-47CE-A278-75E3677D7F6D}" name="Auto Renewal"/>
    <tableColumn id="6" xr3:uid="{AC224598-D542-4E9C-A419-AE48BF8B7BC6}" name="Subscription Price"/>
    <tableColumn id="7" xr3:uid="{C81A5F35-D132-4AD1-BFAD-9C856A2A1487}" name="Subscription Type"/>
    <tableColumn id="8" xr3:uid="{BAD1C18F-AE4E-4D6C-9743-D5468A443E63}" name="EA Play Season Pass"/>
    <tableColumn id="9" xr3:uid="{ACF9ED0D-5DA8-404A-8077-1DED667DE3B2}" name="EA Play Season Pass_x000a_Price"/>
    <tableColumn id="10" xr3:uid="{6F5ABEBC-E82F-4590-9EA7-F52653B6ADDF}" name="Minecraft Season Pass"/>
    <tableColumn id="11" xr3:uid="{4DAE8396-6866-427B-841F-2CD1CD9523D9}" name="Minecraft Season Pass Price"/>
    <tableColumn id="12" xr3:uid="{FA86DA12-35A8-48D9-94AE-ADC58F65F7C9}" name="Coupon Value"/>
    <tableColumn id="13" xr3:uid="{42A534FC-F618-4434-8EDF-E124CFD6EC51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70" zoomScaleNormal="70" workbookViewId="0">
      <selection activeCell="AM18" sqref="AM1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M18" sqref="AM1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19D0-63EB-41AB-BC6D-DEAC1B7539A4}">
  <sheetPr>
    <tabColor theme="3" tint="0.749992370372631"/>
  </sheetPr>
  <dimension ref="A1:M74"/>
  <sheetViews>
    <sheetView workbookViewId="0">
      <selection activeCell="D21" sqref="D21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4.4414062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33" t="s">
        <v>325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3232</v>
      </c>
      <c r="B4" t="s">
        <v>21</v>
      </c>
      <c r="C4" t="s">
        <v>22</v>
      </c>
      <c r="D4" s="32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160</v>
      </c>
      <c r="C5" t="s">
        <v>22</v>
      </c>
      <c r="D5" s="32">
        <v>45633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290</v>
      </c>
      <c r="C6" t="s">
        <v>22</v>
      </c>
      <c r="D6" s="32">
        <v>45621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36</v>
      </c>
      <c r="C7" t="s">
        <v>22</v>
      </c>
      <c r="D7" s="32">
        <v>45355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279</v>
      </c>
      <c r="C8" t="s">
        <v>22</v>
      </c>
      <c r="D8" s="32">
        <v>45609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265</v>
      </c>
      <c r="C9" t="s">
        <v>22</v>
      </c>
      <c r="D9" s="32">
        <v>45595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254</v>
      </c>
      <c r="C10" t="s">
        <v>22</v>
      </c>
      <c r="D10" s="32">
        <v>45583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48</v>
      </c>
      <c r="C11" t="s">
        <v>22</v>
      </c>
      <c r="D11" s="32">
        <v>45367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243</v>
      </c>
      <c r="C12" t="s">
        <v>22</v>
      </c>
      <c r="D12" s="32">
        <v>45571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234</v>
      </c>
      <c r="C13" t="s">
        <v>22</v>
      </c>
      <c r="D13" s="32">
        <v>45559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60</v>
      </c>
      <c r="C14" t="s">
        <v>22</v>
      </c>
      <c r="D14" s="32">
        <v>45379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43</v>
      </c>
      <c r="C15" t="s">
        <v>22</v>
      </c>
      <c r="D15" s="32">
        <v>45541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207</v>
      </c>
      <c r="C16" t="s">
        <v>22</v>
      </c>
      <c r="D16" s="32">
        <v>45529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192</v>
      </c>
      <c r="C17" t="s">
        <v>22</v>
      </c>
      <c r="D17" s="32">
        <v>45513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70</v>
      </c>
      <c r="C18" t="s">
        <v>22</v>
      </c>
      <c r="D18" s="32">
        <v>45389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181</v>
      </c>
      <c r="C19" t="s">
        <v>22</v>
      </c>
      <c r="D19" s="32">
        <v>45501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169</v>
      </c>
      <c r="C20" t="s">
        <v>22</v>
      </c>
      <c r="D20" s="32">
        <v>45489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82</v>
      </c>
      <c r="C21" t="s">
        <v>22</v>
      </c>
      <c r="D21" s="32">
        <v>45401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151</v>
      </c>
      <c r="C22" t="s">
        <v>22</v>
      </c>
      <c r="D22" s="32">
        <v>45471</v>
      </c>
      <c r="E22" t="s">
        <v>19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140</v>
      </c>
      <c r="C23" t="s">
        <v>22</v>
      </c>
      <c r="D23" s="32">
        <v>45459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130</v>
      </c>
      <c r="C24" t="s">
        <v>22</v>
      </c>
      <c r="D24" s="32">
        <v>45449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124</v>
      </c>
      <c r="C25" t="s">
        <v>22</v>
      </c>
      <c r="D25" s="32">
        <v>45443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112</v>
      </c>
      <c r="C26" t="s">
        <v>22</v>
      </c>
      <c r="D26" s="32">
        <v>45431</v>
      </c>
      <c r="E26" t="s">
        <v>23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100</v>
      </c>
      <c r="C27" t="s">
        <v>22</v>
      </c>
      <c r="D27" s="32">
        <v>45419</v>
      </c>
      <c r="E27" t="s">
        <v>23</v>
      </c>
      <c r="F27">
        <v>5</v>
      </c>
      <c r="G27" t="s">
        <v>24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307</v>
      </c>
      <c r="C28" t="s">
        <v>26</v>
      </c>
      <c r="D28" s="32">
        <v>45641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298</v>
      </c>
      <c r="C29" t="s">
        <v>26</v>
      </c>
      <c r="D29" s="32">
        <v>45629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287</v>
      </c>
      <c r="C30" t="s">
        <v>26</v>
      </c>
      <c r="D30" s="32">
        <v>45617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275</v>
      </c>
      <c r="C31" t="s">
        <v>26</v>
      </c>
      <c r="D31" s="32">
        <v>45605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44</v>
      </c>
      <c r="C32" t="s">
        <v>26</v>
      </c>
      <c r="D32" s="32">
        <v>45363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261</v>
      </c>
      <c r="C33" t="s">
        <v>26</v>
      </c>
      <c r="D33" s="32">
        <v>45591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250</v>
      </c>
      <c r="C34" t="s">
        <v>26</v>
      </c>
      <c r="D34" s="32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241</v>
      </c>
      <c r="C35" t="s">
        <v>26</v>
      </c>
      <c r="D35" s="32">
        <v>45567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56</v>
      </c>
      <c r="C36" t="s">
        <v>26</v>
      </c>
      <c r="D36" s="32">
        <v>45375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230</v>
      </c>
      <c r="C37" t="s">
        <v>26</v>
      </c>
      <c r="D37" s="32">
        <v>45555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224</v>
      </c>
      <c r="C38" t="s">
        <v>26</v>
      </c>
      <c r="D38" s="32">
        <v>45549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215</v>
      </c>
      <c r="C39" t="s">
        <v>26</v>
      </c>
      <c r="D39" s="32">
        <v>45537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203</v>
      </c>
      <c r="C40" t="s">
        <v>26</v>
      </c>
      <c r="D40" s="32">
        <v>45525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66</v>
      </c>
      <c r="C41" t="s">
        <v>26</v>
      </c>
      <c r="D41" s="32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199</v>
      </c>
      <c r="C42" t="s">
        <v>26</v>
      </c>
      <c r="D42" s="32">
        <v>45521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188</v>
      </c>
      <c r="C43" t="s">
        <v>26</v>
      </c>
      <c r="D43" s="32">
        <v>45509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177</v>
      </c>
      <c r="C44" t="s">
        <v>26</v>
      </c>
      <c r="D44" s="32">
        <v>45497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78</v>
      </c>
      <c r="C45" t="s">
        <v>26</v>
      </c>
      <c r="D45" s="32">
        <v>45397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165</v>
      </c>
      <c r="C46" t="s">
        <v>26</v>
      </c>
      <c r="D46" s="32">
        <v>45485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159</v>
      </c>
      <c r="C47" t="s">
        <v>26</v>
      </c>
      <c r="D47" s="32">
        <v>45479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147</v>
      </c>
      <c r="C48" t="s">
        <v>26</v>
      </c>
      <c r="D48" s="32">
        <v>45467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136</v>
      </c>
      <c r="C49" t="s">
        <v>26</v>
      </c>
      <c r="D49" s="32">
        <v>45455</v>
      </c>
      <c r="E49" t="s">
        <v>19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90</v>
      </c>
      <c r="C50" t="s">
        <v>26</v>
      </c>
      <c r="D50" s="32">
        <v>45409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126</v>
      </c>
      <c r="C51" t="s">
        <v>26</v>
      </c>
      <c r="D51" s="32">
        <v>45445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120</v>
      </c>
      <c r="C52" t="s">
        <v>26</v>
      </c>
      <c r="D52" s="32">
        <v>45439</v>
      </c>
      <c r="E52" t="s">
        <v>23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96</v>
      </c>
      <c r="C53" t="s">
        <v>26</v>
      </c>
      <c r="D53" s="32">
        <v>45415</v>
      </c>
      <c r="E53" t="s">
        <v>23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108</v>
      </c>
      <c r="C54" t="s">
        <v>26</v>
      </c>
      <c r="D54" s="32">
        <v>45427</v>
      </c>
      <c r="E54" t="s">
        <v>23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303</v>
      </c>
      <c r="C55" t="s">
        <v>18</v>
      </c>
      <c r="D55" s="32">
        <v>45637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294</v>
      </c>
      <c r="C56" t="s">
        <v>18</v>
      </c>
      <c r="D56" s="32">
        <v>45625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283</v>
      </c>
      <c r="C57" t="s">
        <v>18</v>
      </c>
      <c r="D57" s="32">
        <v>45613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40</v>
      </c>
      <c r="C58" t="s">
        <v>18</v>
      </c>
      <c r="D58" s="32">
        <v>45359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269</v>
      </c>
      <c r="C59" t="s">
        <v>18</v>
      </c>
      <c r="D59" s="32">
        <v>45599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258</v>
      </c>
      <c r="C60" t="s">
        <v>18</v>
      </c>
      <c r="D60" s="32">
        <v>45587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247</v>
      </c>
      <c r="C61" t="s">
        <v>18</v>
      </c>
      <c r="D61" s="32">
        <v>45575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52</v>
      </c>
      <c r="C62" t="s">
        <v>18</v>
      </c>
      <c r="D62" s="32">
        <v>45371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237</v>
      </c>
      <c r="C63" t="s">
        <v>18</v>
      </c>
      <c r="D63" s="32">
        <v>45563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220</v>
      </c>
      <c r="C64" t="s">
        <v>18</v>
      </c>
      <c r="D64" s="32">
        <v>45545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211</v>
      </c>
      <c r="C65" t="s">
        <v>18</v>
      </c>
      <c r="D65" s="32">
        <v>45533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195</v>
      </c>
      <c r="C66" t="s">
        <v>18</v>
      </c>
      <c r="D66" s="32">
        <v>45517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185</v>
      </c>
      <c r="C67" t="s">
        <v>18</v>
      </c>
      <c r="D67" s="32">
        <v>45505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74</v>
      </c>
      <c r="C68" t="s">
        <v>18</v>
      </c>
      <c r="D68" s="32">
        <v>45393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173</v>
      </c>
      <c r="C69" t="s">
        <v>18</v>
      </c>
      <c r="D69" s="32">
        <v>45493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155</v>
      </c>
      <c r="C70" t="s">
        <v>18</v>
      </c>
      <c r="D70" s="32">
        <v>45475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144</v>
      </c>
      <c r="C71" t="s">
        <v>18</v>
      </c>
      <c r="D71" s="32">
        <v>45463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86</v>
      </c>
      <c r="C72" t="s">
        <v>18</v>
      </c>
      <c r="D72" s="32">
        <v>45405</v>
      </c>
      <c r="E72" t="s">
        <v>19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116</v>
      </c>
      <c r="C73" t="s">
        <v>18</v>
      </c>
      <c r="D73" s="32">
        <v>45435</v>
      </c>
      <c r="E73" t="s">
        <v>23</v>
      </c>
      <c r="F73">
        <v>15</v>
      </c>
      <c r="G73" t="s">
        <v>24</v>
      </c>
      <c r="H73" t="s">
        <v>19</v>
      </c>
      <c r="I73">
        <v>30</v>
      </c>
      <c r="J73" t="s">
        <v>19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104</v>
      </c>
      <c r="C74" t="s">
        <v>18</v>
      </c>
      <c r="D74" s="32">
        <v>45423</v>
      </c>
      <c r="E74" t="s">
        <v>23</v>
      </c>
      <c r="F74">
        <v>15</v>
      </c>
      <c r="G74" t="s">
        <v>24</v>
      </c>
      <c r="H74" t="s">
        <v>19</v>
      </c>
      <c r="I74">
        <v>30</v>
      </c>
      <c r="J74" t="s">
        <v>19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I288"/>
  <sheetViews>
    <sheetView showGridLines="0" topLeftCell="A16" zoomScale="70" zoomScaleNormal="70" workbookViewId="0">
      <selection activeCell="AM18" sqref="AM18"/>
    </sheetView>
  </sheetViews>
  <sheetFormatPr defaultRowHeight="14.4" x14ac:dyDescent="0.3"/>
  <cols>
    <col min="3" max="3" width="25" bestFit="1" customWidth="1"/>
    <col min="4" max="4" width="23.33203125" bestFit="1" customWidth="1"/>
    <col min="5" max="5" width="40" customWidth="1"/>
    <col min="6" max="6" width="19.109375" bestFit="1" customWidth="1"/>
    <col min="7" max="7" width="45.6640625" customWidth="1"/>
    <col min="8" max="8" width="31.88671875" customWidth="1"/>
    <col min="9" max="9" width="28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3:9" ht="19.2" x14ac:dyDescent="0.3">
      <c r="C5" s="13" t="s">
        <v>313</v>
      </c>
      <c r="D5" s="13"/>
      <c r="E5" s="13"/>
      <c r="F5" s="13"/>
      <c r="G5" s="13"/>
      <c r="H5" s="13"/>
      <c r="I5" s="13"/>
    </row>
    <row r="6" spans="3:9" ht="19.2" x14ac:dyDescent="0.45">
      <c r="C6" s="14"/>
      <c r="D6" s="14"/>
      <c r="E6" s="14"/>
      <c r="F6" s="14"/>
      <c r="G6" s="14"/>
      <c r="H6" s="14"/>
      <c r="I6" s="14"/>
    </row>
    <row r="7" spans="3:9" ht="19.2" x14ac:dyDescent="0.3">
      <c r="C7" s="15" t="s">
        <v>314</v>
      </c>
      <c r="D7" s="15"/>
      <c r="E7" s="15"/>
      <c r="F7" s="15"/>
      <c r="G7" s="15"/>
      <c r="H7" s="15"/>
      <c r="I7" s="15"/>
    </row>
    <row r="8" spans="3:9" ht="19.2" x14ac:dyDescent="0.45">
      <c r="C8" s="16"/>
      <c r="D8" s="16"/>
      <c r="E8" s="16"/>
      <c r="F8" s="16"/>
      <c r="G8" s="16"/>
      <c r="H8" s="14"/>
      <c r="I8" s="14"/>
    </row>
    <row r="9" spans="3:9" ht="19.2" x14ac:dyDescent="0.3">
      <c r="C9" s="15" t="s">
        <v>319</v>
      </c>
      <c r="D9" s="15"/>
      <c r="E9" s="15"/>
      <c r="F9" s="15"/>
      <c r="G9" s="15"/>
      <c r="H9" s="15"/>
      <c r="I9" s="15"/>
    </row>
    <row r="10" spans="3:9" ht="19.2" x14ac:dyDescent="0.3">
      <c r="C10" s="17"/>
      <c r="D10" s="17"/>
      <c r="E10" s="17"/>
      <c r="F10" s="17"/>
      <c r="G10" s="17"/>
      <c r="H10" s="17"/>
      <c r="I10" s="17"/>
    </row>
    <row r="11" spans="3:9" ht="19.2" x14ac:dyDescent="0.45">
      <c r="C11" s="18" t="s">
        <v>16</v>
      </c>
      <c r="D11" s="14" t="s">
        <v>24</v>
      </c>
      <c r="E11" s="17"/>
      <c r="F11" s="17"/>
      <c r="G11" s="17"/>
      <c r="H11" s="17"/>
      <c r="I11" s="17"/>
    </row>
    <row r="12" spans="3:9" ht="19.2" x14ac:dyDescent="0.45">
      <c r="C12" s="14"/>
      <c r="D12" s="14"/>
      <c r="E12" s="19" t="s">
        <v>315</v>
      </c>
      <c r="F12" s="19"/>
      <c r="G12" s="19"/>
      <c r="H12" s="14"/>
      <c r="I12" s="14"/>
    </row>
    <row r="13" spans="3:9" ht="19.2" x14ac:dyDescent="0.45">
      <c r="C13" s="29" t="s">
        <v>316</v>
      </c>
      <c r="D13" s="31" t="s">
        <v>318</v>
      </c>
      <c r="E13" s="14"/>
      <c r="F13" s="19" t="s">
        <v>315</v>
      </c>
      <c r="G13" s="19"/>
      <c r="H13" s="14"/>
      <c r="I13" s="14"/>
    </row>
    <row r="14" spans="3:9" ht="19.2" x14ac:dyDescent="0.45">
      <c r="C14" s="20" t="s">
        <v>23</v>
      </c>
      <c r="D14" s="21">
        <v>217</v>
      </c>
      <c r="E14" s="19"/>
      <c r="F14" s="19"/>
      <c r="G14" s="19"/>
      <c r="H14" s="14"/>
      <c r="I14" s="14"/>
    </row>
    <row r="15" spans="3:9" ht="19.2" x14ac:dyDescent="0.45">
      <c r="C15" s="20" t="s">
        <v>19</v>
      </c>
      <c r="D15" s="21">
        <v>1537</v>
      </c>
      <c r="E15" s="19"/>
      <c r="F15" s="19"/>
      <c r="G15" s="19"/>
      <c r="H15" s="14"/>
      <c r="I15" s="14"/>
    </row>
    <row r="16" spans="3:9" ht="19.2" x14ac:dyDescent="0.45">
      <c r="C16" s="22" t="s">
        <v>317</v>
      </c>
      <c r="D16" s="23">
        <v>1754</v>
      </c>
      <c r="E16" s="19"/>
      <c r="F16" s="19"/>
      <c r="G16" s="19"/>
      <c r="H16" s="14"/>
      <c r="I16" s="14"/>
    </row>
    <row r="17" spans="3:9" x14ac:dyDescent="0.3">
      <c r="E17" s="12"/>
      <c r="F17" s="12"/>
      <c r="G17" s="12"/>
    </row>
    <row r="18" spans="3:9" x14ac:dyDescent="0.3">
      <c r="E18" s="12"/>
      <c r="F18" s="12"/>
      <c r="G18" s="12"/>
    </row>
    <row r="19" spans="3:9" ht="19.2" x14ac:dyDescent="0.3">
      <c r="C19" s="15" t="s">
        <v>321</v>
      </c>
      <c r="D19" s="15"/>
      <c r="E19" s="15"/>
      <c r="F19" s="15"/>
      <c r="G19" s="15"/>
      <c r="H19" s="15"/>
      <c r="I19" s="15"/>
    </row>
    <row r="20" spans="3:9" x14ac:dyDescent="0.3">
      <c r="E20" s="12"/>
      <c r="F20" s="12"/>
      <c r="G20" s="12"/>
    </row>
    <row r="21" spans="3:9" ht="19.2" x14ac:dyDescent="0.45">
      <c r="C21" s="18" t="s">
        <v>16</v>
      </c>
      <c r="D21" s="14" t="s">
        <v>24</v>
      </c>
      <c r="E21" s="12"/>
      <c r="F21" s="12"/>
      <c r="G21" s="12"/>
    </row>
    <row r="22" spans="3:9" ht="19.2" x14ac:dyDescent="0.45">
      <c r="C22" s="14"/>
      <c r="D22" s="14"/>
      <c r="E22" s="12"/>
      <c r="F22" s="12"/>
      <c r="G22" s="12"/>
    </row>
    <row r="23" spans="3:9" ht="38.4" x14ac:dyDescent="0.3">
      <c r="C23" s="29" t="s">
        <v>316</v>
      </c>
      <c r="D23" s="30" t="s">
        <v>322</v>
      </c>
      <c r="F23" s="27"/>
      <c r="G23" s="12"/>
    </row>
    <row r="24" spans="3:9" ht="19.2" x14ac:dyDescent="0.45">
      <c r="C24" s="20" t="s">
        <v>22</v>
      </c>
      <c r="D24" s="25">
        <v>0</v>
      </c>
      <c r="F24" s="27"/>
      <c r="G24" s="12"/>
    </row>
    <row r="25" spans="3:9" ht="19.2" x14ac:dyDescent="0.45">
      <c r="C25" s="20" t="s">
        <v>26</v>
      </c>
      <c r="D25" s="25">
        <v>0</v>
      </c>
      <c r="F25" s="28"/>
      <c r="G25" s="12"/>
    </row>
    <row r="26" spans="3:9" ht="19.2" x14ac:dyDescent="0.45">
      <c r="C26" s="20" t="s">
        <v>18</v>
      </c>
      <c r="D26" s="25">
        <v>600</v>
      </c>
      <c r="F26" s="12"/>
      <c r="G26" s="12"/>
    </row>
    <row r="27" spans="3:9" ht="19.2" x14ac:dyDescent="0.45">
      <c r="C27" s="22" t="s">
        <v>317</v>
      </c>
      <c r="D27" s="26">
        <v>600</v>
      </c>
      <c r="F27" s="34">
        <f>GETPIVOTDATA("EA Play Season Pass
Price",$C$23)</f>
        <v>600</v>
      </c>
      <c r="G27" s="12"/>
    </row>
    <row r="28" spans="3:9" ht="19.2" x14ac:dyDescent="0.45">
      <c r="E28" s="12"/>
      <c r="F28" s="12"/>
      <c r="G28" s="12"/>
    </row>
    <row r="29" spans="3:9" ht="19.2" x14ac:dyDescent="0.3">
      <c r="C29" s="15" t="s">
        <v>323</v>
      </c>
      <c r="D29" s="15"/>
      <c r="E29" s="15"/>
      <c r="F29" s="15"/>
      <c r="G29" s="15"/>
      <c r="H29" s="15"/>
      <c r="I29" s="15"/>
    </row>
    <row r="30" spans="3:9" ht="19.2" x14ac:dyDescent="0.45">
      <c r="E30" s="12"/>
      <c r="F30" s="12"/>
      <c r="G30" s="12"/>
    </row>
    <row r="31" spans="3:9" ht="19.2" x14ac:dyDescent="0.45">
      <c r="C31" s="18" t="s">
        <v>16</v>
      </c>
      <c r="D31" s="14" t="s">
        <v>24</v>
      </c>
      <c r="E31" s="12"/>
      <c r="F31" s="12"/>
      <c r="G31" s="12"/>
    </row>
    <row r="32" spans="3:9" ht="19.2" x14ac:dyDescent="0.45">
      <c r="C32" s="14"/>
      <c r="D32" s="14"/>
      <c r="E32" s="12"/>
      <c r="F32" s="12"/>
      <c r="G32" s="12"/>
    </row>
    <row r="33" spans="3:7" ht="38.4" x14ac:dyDescent="0.3">
      <c r="C33" s="29" t="s">
        <v>316</v>
      </c>
      <c r="D33" s="30" t="s">
        <v>324</v>
      </c>
      <c r="F33" s="27"/>
      <c r="G33" s="12"/>
    </row>
    <row r="34" spans="3:7" ht="19.2" x14ac:dyDescent="0.45">
      <c r="C34" s="20" t="s">
        <v>22</v>
      </c>
      <c r="D34" s="25">
        <v>0</v>
      </c>
      <c r="F34" s="27"/>
      <c r="G34" s="12"/>
    </row>
    <row r="35" spans="3:7" ht="19.2" x14ac:dyDescent="0.45">
      <c r="C35" s="20" t="s">
        <v>26</v>
      </c>
      <c r="D35" s="25">
        <v>540</v>
      </c>
      <c r="F35" s="28"/>
      <c r="G35" s="12"/>
    </row>
    <row r="36" spans="3:7" ht="19.2" x14ac:dyDescent="0.45">
      <c r="C36" s="20" t="s">
        <v>18</v>
      </c>
      <c r="D36" s="25">
        <v>400</v>
      </c>
      <c r="F36" s="12"/>
      <c r="G36" s="12"/>
    </row>
    <row r="37" spans="3:7" ht="19.2" x14ac:dyDescent="0.45">
      <c r="C37" s="22" t="s">
        <v>317</v>
      </c>
      <c r="D37" s="26">
        <v>940</v>
      </c>
      <c r="F37" s="34">
        <f>GETPIVOTDATA("Minecraft Season Pass Price",$C$33)</f>
        <v>940</v>
      </c>
      <c r="G37" s="12"/>
    </row>
    <row r="38" spans="3:7" x14ac:dyDescent="0.3">
      <c r="E38" s="12"/>
      <c r="F38" s="12"/>
      <c r="G38" s="12"/>
    </row>
    <row r="39" spans="3:7" x14ac:dyDescent="0.3">
      <c r="E39" s="12"/>
      <c r="F39" s="12"/>
      <c r="G39" s="12"/>
    </row>
    <row r="40" spans="3:7" x14ac:dyDescent="0.3">
      <c r="E40" s="12"/>
      <c r="F40" s="12"/>
      <c r="G40" s="12"/>
    </row>
    <row r="41" spans="3:7" x14ac:dyDescent="0.3">
      <c r="E41" s="12"/>
      <c r="F41" s="12"/>
      <c r="G41" s="12"/>
    </row>
    <row r="42" spans="3:7" x14ac:dyDescent="0.3">
      <c r="E42" s="12"/>
      <c r="F42" s="12"/>
      <c r="G42" s="12"/>
    </row>
    <row r="43" spans="3:7" x14ac:dyDescent="0.3">
      <c r="E43" s="12"/>
      <c r="F43" s="12"/>
      <c r="G43" s="12"/>
    </row>
    <row r="44" spans="3:7" x14ac:dyDescent="0.3">
      <c r="E44" s="12"/>
      <c r="F44" s="12"/>
      <c r="G44" s="12"/>
    </row>
    <row r="45" spans="3:7" x14ac:dyDescent="0.3">
      <c r="E45" s="12"/>
      <c r="F45" s="12"/>
      <c r="G45" s="12"/>
    </row>
    <row r="46" spans="3:7" x14ac:dyDescent="0.3">
      <c r="E46" s="12"/>
      <c r="F46" s="12"/>
      <c r="G46" s="12"/>
    </row>
    <row r="47" spans="3:7" x14ac:dyDescent="0.3">
      <c r="E47" s="12"/>
      <c r="F47" s="12"/>
      <c r="G47" s="12"/>
    </row>
    <row r="48" spans="3:7" x14ac:dyDescent="0.3">
      <c r="E48" s="12"/>
      <c r="F48" s="12"/>
      <c r="G48" s="12"/>
    </row>
    <row r="49" spans="5:7" x14ac:dyDescent="0.3">
      <c r="E49" s="12"/>
      <c r="F49" s="12"/>
      <c r="G49" s="12"/>
    </row>
    <row r="50" spans="5:7" x14ac:dyDescent="0.3">
      <c r="E50" s="12"/>
      <c r="F50" s="12"/>
      <c r="G50" s="12"/>
    </row>
    <row r="51" spans="5:7" x14ac:dyDescent="0.3">
      <c r="E51" s="12"/>
      <c r="F51" s="12"/>
      <c r="G51" s="12"/>
    </row>
    <row r="52" spans="5:7" x14ac:dyDescent="0.3">
      <c r="E52" s="12"/>
      <c r="F52" s="12"/>
      <c r="G52" s="12"/>
    </row>
    <row r="53" spans="5:7" x14ac:dyDescent="0.3">
      <c r="E53" s="12"/>
      <c r="F53" s="12"/>
      <c r="G53" s="12"/>
    </row>
    <row r="54" spans="5:7" x14ac:dyDescent="0.3">
      <c r="E54" s="12"/>
      <c r="F54" s="12"/>
      <c r="G54" s="12"/>
    </row>
    <row r="55" spans="5:7" x14ac:dyDescent="0.3">
      <c r="E55" s="12"/>
      <c r="F55" s="12"/>
      <c r="G55" s="12"/>
    </row>
    <row r="56" spans="5:7" x14ac:dyDescent="0.3">
      <c r="E56" s="12"/>
      <c r="F56" s="12"/>
      <c r="G56" s="12"/>
    </row>
    <row r="57" spans="5:7" x14ac:dyDescent="0.3">
      <c r="E57" s="12"/>
      <c r="F57" s="12"/>
      <c r="G57" s="12"/>
    </row>
    <row r="58" spans="5:7" x14ac:dyDescent="0.3">
      <c r="E58" s="12"/>
      <c r="F58" s="12"/>
      <c r="G58" s="12"/>
    </row>
    <row r="59" spans="5:7" x14ac:dyDescent="0.3">
      <c r="E59" s="12"/>
      <c r="F59" s="12"/>
      <c r="G59" s="12"/>
    </row>
    <row r="60" spans="5:7" x14ac:dyDescent="0.3">
      <c r="E60" s="12"/>
      <c r="F60" s="12"/>
      <c r="G60" s="12"/>
    </row>
    <row r="61" spans="5:7" x14ac:dyDescent="0.3">
      <c r="E61" s="12"/>
      <c r="F61" s="12"/>
      <c r="G61" s="12"/>
    </row>
    <row r="62" spans="5:7" x14ac:dyDescent="0.3">
      <c r="E62" s="12"/>
      <c r="F62" s="12"/>
      <c r="G62" s="12"/>
    </row>
    <row r="63" spans="5:7" x14ac:dyDescent="0.3">
      <c r="E63" s="12"/>
      <c r="F63" s="12"/>
      <c r="G63" s="12"/>
    </row>
    <row r="64" spans="5:7" x14ac:dyDescent="0.3">
      <c r="E64" s="12"/>
      <c r="F64" s="12"/>
      <c r="G64" s="12"/>
    </row>
    <row r="65" spans="5:7" x14ac:dyDescent="0.3">
      <c r="E65" s="12"/>
      <c r="F65" s="12"/>
      <c r="G65" s="12"/>
    </row>
    <row r="66" spans="5:7" x14ac:dyDescent="0.3">
      <c r="E66" s="12"/>
      <c r="F66" s="12"/>
      <c r="G66" s="12"/>
    </row>
    <row r="67" spans="5:7" x14ac:dyDescent="0.3">
      <c r="E67" s="12"/>
      <c r="F67" s="12"/>
      <c r="G67" s="12"/>
    </row>
    <row r="68" spans="5:7" x14ac:dyDescent="0.3">
      <c r="E68" s="12"/>
      <c r="F68" s="12"/>
      <c r="G68" s="12"/>
    </row>
    <row r="69" spans="5:7" x14ac:dyDescent="0.3">
      <c r="E69" s="12"/>
      <c r="F69" s="12"/>
      <c r="G69" s="12"/>
    </row>
    <row r="70" spans="5:7" x14ac:dyDescent="0.3">
      <c r="E70" s="12"/>
      <c r="F70" s="12"/>
      <c r="G70" s="12"/>
    </row>
    <row r="71" spans="5:7" x14ac:dyDescent="0.3">
      <c r="E71" s="12"/>
      <c r="F71" s="12"/>
      <c r="G71" s="12"/>
    </row>
    <row r="72" spans="5:7" x14ac:dyDescent="0.3">
      <c r="E72" s="12"/>
      <c r="F72" s="12"/>
      <c r="G72" s="12"/>
    </row>
    <row r="73" spans="5:7" x14ac:dyDescent="0.3">
      <c r="E73" s="12"/>
      <c r="F73" s="12"/>
      <c r="G73" s="12"/>
    </row>
    <row r="74" spans="5:7" x14ac:dyDescent="0.3">
      <c r="E74" s="12"/>
      <c r="F74" s="12"/>
      <c r="G74" s="12"/>
    </row>
    <row r="75" spans="5:7" x14ac:dyDescent="0.3">
      <c r="E75" s="12"/>
      <c r="F75" s="12"/>
      <c r="G75" s="12"/>
    </row>
    <row r="76" spans="5:7" x14ac:dyDescent="0.3">
      <c r="E76" s="12"/>
      <c r="F76" s="12"/>
      <c r="G76" s="12"/>
    </row>
    <row r="77" spans="5:7" x14ac:dyDescent="0.3">
      <c r="E77" s="12"/>
      <c r="F77" s="12"/>
      <c r="G77" s="12"/>
    </row>
    <row r="78" spans="5:7" x14ac:dyDescent="0.3">
      <c r="E78" s="12"/>
      <c r="F78" s="12"/>
      <c r="G78" s="12"/>
    </row>
    <row r="79" spans="5:7" x14ac:dyDescent="0.3">
      <c r="E79" s="12"/>
      <c r="F79" s="12"/>
      <c r="G79" s="12"/>
    </row>
    <row r="80" spans="5:7" x14ac:dyDescent="0.3">
      <c r="E80" s="12"/>
      <c r="F80" s="12"/>
      <c r="G80" s="12"/>
    </row>
    <row r="81" spans="5:7" x14ac:dyDescent="0.3">
      <c r="E81" s="12"/>
      <c r="F81" s="12"/>
      <c r="G81" s="12"/>
    </row>
    <row r="82" spans="5:7" x14ac:dyDescent="0.3">
      <c r="E82" s="12"/>
      <c r="F82" s="12"/>
      <c r="G82" s="12"/>
    </row>
    <row r="83" spans="5:7" x14ac:dyDescent="0.3">
      <c r="E83" s="12"/>
      <c r="F83" s="12"/>
      <c r="G83" s="12"/>
    </row>
    <row r="84" spans="5:7" x14ac:dyDescent="0.3">
      <c r="E84" s="12"/>
      <c r="F84" s="12"/>
      <c r="G84" s="12"/>
    </row>
    <row r="85" spans="5:7" x14ac:dyDescent="0.3">
      <c r="E85" s="12"/>
      <c r="F85" s="12"/>
      <c r="G85" s="12"/>
    </row>
    <row r="86" spans="5:7" x14ac:dyDescent="0.3">
      <c r="E86" s="12"/>
      <c r="F86" s="12"/>
      <c r="G86" s="12"/>
    </row>
    <row r="87" spans="5:7" x14ac:dyDescent="0.3">
      <c r="E87" s="12"/>
      <c r="F87" s="12"/>
      <c r="G87" s="12"/>
    </row>
    <row r="88" spans="5:7" x14ac:dyDescent="0.3">
      <c r="E88" s="12"/>
      <c r="F88" s="12"/>
      <c r="G88" s="12"/>
    </row>
    <row r="89" spans="5:7" x14ac:dyDescent="0.3">
      <c r="E89" s="12"/>
      <c r="F89" s="12"/>
      <c r="G89" s="12"/>
    </row>
    <row r="90" spans="5:7" x14ac:dyDescent="0.3">
      <c r="E90" s="12"/>
      <c r="F90" s="12"/>
      <c r="G90" s="12"/>
    </row>
    <row r="91" spans="5:7" x14ac:dyDescent="0.3">
      <c r="E91" s="12"/>
      <c r="F91" s="12"/>
      <c r="G91" s="12"/>
    </row>
    <row r="92" spans="5:7" x14ac:dyDescent="0.3">
      <c r="E92" s="12"/>
      <c r="F92" s="12"/>
      <c r="G92" s="12"/>
    </row>
    <row r="93" spans="5:7" x14ac:dyDescent="0.3">
      <c r="E93" s="12"/>
      <c r="F93" s="12"/>
      <c r="G93" s="12"/>
    </row>
    <row r="94" spans="5:7" x14ac:dyDescent="0.3">
      <c r="E94" s="12"/>
      <c r="F94" s="12"/>
      <c r="G94" s="12"/>
    </row>
    <row r="95" spans="5:7" x14ac:dyDescent="0.3">
      <c r="E95" s="12"/>
      <c r="F95" s="12"/>
      <c r="G95" s="12"/>
    </row>
    <row r="96" spans="5:7" x14ac:dyDescent="0.3">
      <c r="E96" s="12"/>
      <c r="F96" s="12"/>
      <c r="G96" s="12"/>
    </row>
    <row r="97" spans="5:7" x14ac:dyDescent="0.3">
      <c r="E97" s="12"/>
      <c r="F97" s="12"/>
      <c r="G97" s="12"/>
    </row>
    <row r="98" spans="5:7" x14ac:dyDescent="0.3">
      <c r="E98" s="12"/>
      <c r="F98" s="12"/>
      <c r="G98" s="12"/>
    </row>
    <row r="99" spans="5:7" x14ac:dyDescent="0.3">
      <c r="E99" s="12"/>
      <c r="F99" s="12"/>
      <c r="G99" s="12"/>
    </row>
    <row r="100" spans="5:7" x14ac:dyDescent="0.3">
      <c r="E100" s="12"/>
      <c r="F100" s="12"/>
      <c r="G100" s="12"/>
    </row>
    <row r="101" spans="5:7" x14ac:dyDescent="0.3">
      <c r="E101" s="12"/>
      <c r="F101" s="12"/>
      <c r="G101" s="12"/>
    </row>
    <row r="102" spans="5:7" x14ac:dyDescent="0.3">
      <c r="E102" s="12"/>
      <c r="F102" s="12"/>
      <c r="G102" s="12"/>
    </row>
    <row r="103" spans="5:7" x14ac:dyDescent="0.3">
      <c r="E103" s="12"/>
      <c r="F103" s="12"/>
      <c r="G103" s="12"/>
    </row>
    <row r="104" spans="5:7" x14ac:dyDescent="0.3">
      <c r="E104" s="12"/>
      <c r="F104" s="12"/>
      <c r="G104" s="12"/>
    </row>
    <row r="105" spans="5:7" x14ac:dyDescent="0.3">
      <c r="E105" s="12"/>
      <c r="F105" s="12"/>
      <c r="G105" s="12"/>
    </row>
    <row r="106" spans="5:7" x14ac:dyDescent="0.3">
      <c r="E106" s="12"/>
      <c r="F106" s="12"/>
      <c r="G106" s="12"/>
    </row>
    <row r="107" spans="5:7" x14ac:dyDescent="0.3">
      <c r="E107" s="12"/>
      <c r="F107" s="12"/>
      <c r="G107" s="12"/>
    </row>
    <row r="108" spans="5:7" x14ac:dyDescent="0.3">
      <c r="E108" s="12"/>
      <c r="F108" s="12"/>
      <c r="G108" s="12"/>
    </row>
    <row r="109" spans="5:7" x14ac:dyDescent="0.3">
      <c r="E109" s="12"/>
      <c r="F109" s="12"/>
      <c r="G109" s="12"/>
    </row>
    <row r="110" spans="5:7" x14ac:dyDescent="0.3">
      <c r="E110" s="12"/>
      <c r="F110" s="12"/>
      <c r="G110" s="12"/>
    </row>
    <row r="111" spans="5:7" x14ac:dyDescent="0.3">
      <c r="E111" s="12"/>
      <c r="F111" s="12"/>
      <c r="G111" s="12"/>
    </row>
    <row r="112" spans="5:7" x14ac:dyDescent="0.3">
      <c r="E112" s="12"/>
      <c r="F112" s="12"/>
      <c r="G112" s="12"/>
    </row>
    <row r="113" spans="5:7" x14ac:dyDescent="0.3">
      <c r="E113" s="12"/>
      <c r="F113" s="12"/>
      <c r="G113" s="12"/>
    </row>
    <row r="114" spans="5:7" x14ac:dyDescent="0.3">
      <c r="E114" s="12"/>
      <c r="F114" s="12"/>
      <c r="G114" s="12"/>
    </row>
    <row r="115" spans="5:7" x14ac:dyDescent="0.3">
      <c r="E115" s="12"/>
      <c r="F115" s="12"/>
      <c r="G115" s="12"/>
    </row>
    <row r="116" spans="5:7" x14ac:dyDescent="0.3">
      <c r="E116" s="12"/>
      <c r="F116" s="12"/>
      <c r="G116" s="12"/>
    </row>
    <row r="117" spans="5:7" x14ac:dyDescent="0.3">
      <c r="E117" s="12"/>
      <c r="F117" s="12"/>
      <c r="G117" s="12"/>
    </row>
    <row r="118" spans="5:7" x14ac:dyDescent="0.3">
      <c r="E118" s="12"/>
      <c r="F118" s="12"/>
      <c r="G118" s="12"/>
    </row>
    <row r="119" spans="5:7" x14ac:dyDescent="0.3">
      <c r="E119" s="12"/>
      <c r="F119" s="12"/>
      <c r="G119" s="12"/>
    </row>
    <row r="120" spans="5:7" x14ac:dyDescent="0.3">
      <c r="E120" s="12"/>
      <c r="F120" s="12"/>
      <c r="G120" s="12"/>
    </row>
    <row r="121" spans="5:7" x14ac:dyDescent="0.3">
      <c r="E121" s="12"/>
      <c r="F121" s="12"/>
      <c r="G121" s="12"/>
    </row>
    <row r="122" spans="5:7" x14ac:dyDescent="0.3">
      <c r="E122" s="12"/>
      <c r="F122" s="12"/>
      <c r="G122" s="12"/>
    </row>
    <row r="123" spans="5:7" x14ac:dyDescent="0.3">
      <c r="E123" s="12"/>
      <c r="F123" s="12"/>
      <c r="G123" s="12"/>
    </row>
    <row r="124" spans="5:7" x14ac:dyDescent="0.3">
      <c r="E124" s="12"/>
      <c r="F124" s="12"/>
      <c r="G124" s="12"/>
    </row>
    <row r="125" spans="5:7" x14ac:dyDescent="0.3">
      <c r="E125" s="12"/>
      <c r="F125" s="12"/>
      <c r="G125" s="12"/>
    </row>
    <row r="126" spans="5:7" x14ac:dyDescent="0.3">
      <c r="E126" s="12"/>
      <c r="F126" s="12"/>
      <c r="G126" s="12"/>
    </row>
    <row r="127" spans="5:7" x14ac:dyDescent="0.3">
      <c r="E127" s="12"/>
      <c r="F127" s="12"/>
      <c r="G127" s="12"/>
    </row>
    <row r="128" spans="5:7" x14ac:dyDescent="0.3">
      <c r="E128" s="12"/>
      <c r="F128" s="12"/>
      <c r="G128" s="12"/>
    </row>
    <row r="129" spans="5:7" x14ac:dyDescent="0.3">
      <c r="E129" s="12"/>
      <c r="F129" s="12"/>
      <c r="G129" s="12"/>
    </row>
    <row r="130" spans="5:7" x14ac:dyDescent="0.3">
      <c r="E130" s="12"/>
      <c r="F130" s="12"/>
      <c r="G130" s="12"/>
    </row>
    <row r="131" spans="5:7" x14ac:dyDescent="0.3">
      <c r="E131" s="12"/>
      <c r="F131" s="12"/>
      <c r="G131" s="12"/>
    </row>
    <row r="132" spans="5:7" x14ac:dyDescent="0.3">
      <c r="E132" s="12"/>
      <c r="F132" s="12"/>
      <c r="G132" s="12"/>
    </row>
    <row r="133" spans="5:7" x14ac:dyDescent="0.3">
      <c r="E133" s="12"/>
      <c r="F133" s="12"/>
      <c r="G133" s="12"/>
    </row>
    <row r="134" spans="5:7" x14ac:dyDescent="0.3">
      <c r="E134" s="12"/>
      <c r="F134" s="12"/>
      <c r="G134" s="12"/>
    </row>
    <row r="135" spans="5:7" x14ac:dyDescent="0.3">
      <c r="E135" s="12"/>
      <c r="F135" s="12"/>
      <c r="G135" s="12"/>
    </row>
    <row r="136" spans="5:7" x14ac:dyDescent="0.3">
      <c r="E136" s="12"/>
      <c r="F136" s="12"/>
      <c r="G136" s="12"/>
    </row>
    <row r="137" spans="5:7" x14ac:dyDescent="0.3">
      <c r="E137" s="12"/>
      <c r="F137" s="12"/>
      <c r="G137" s="12"/>
    </row>
    <row r="138" spans="5:7" x14ac:dyDescent="0.3">
      <c r="E138" s="12"/>
      <c r="F138" s="12"/>
      <c r="G138" s="12"/>
    </row>
    <row r="139" spans="5:7" x14ac:dyDescent="0.3">
      <c r="E139" s="12"/>
      <c r="F139" s="12"/>
      <c r="G139" s="12"/>
    </row>
    <row r="140" spans="5:7" x14ac:dyDescent="0.3">
      <c r="E140" s="12"/>
      <c r="F140" s="12"/>
      <c r="G140" s="12"/>
    </row>
    <row r="141" spans="5:7" x14ac:dyDescent="0.3">
      <c r="E141" s="12"/>
      <c r="F141" s="12"/>
      <c r="G141" s="12"/>
    </row>
    <row r="142" spans="5:7" x14ac:dyDescent="0.3">
      <c r="E142" s="12"/>
      <c r="F142" s="12"/>
      <c r="G142" s="12"/>
    </row>
    <row r="143" spans="5:7" x14ac:dyDescent="0.3">
      <c r="E143" s="12"/>
      <c r="F143" s="12"/>
      <c r="G143" s="12"/>
    </row>
    <row r="144" spans="5:7" x14ac:dyDescent="0.3">
      <c r="E144" s="12"/>
      <c r="F144" s="12"/>
      <c r="G144" s="12"/>
    </row>
    <row r="145" spans="5:7" x14ac:dyDescent="0.3">
      <c r="E145" s="12"/>
      <c r="F145" s="12"/>
      <c r="G145" s="12"/>
    </row>
    <row r="146" spans="5:7" x14ac:dyDescent="0.3">
      <c r="E146" s="12"/>
      <c r="F146" s="12"/>
      <c r="G146" s="12"/>
    </row>
    <row r="147" spans="5:7" x14ac:dyDescent="0.3">
      <c r="E147" s="12"/>
      <c r="F147" s="12"/>
      <c r="G147" s="12"/>
    </row>
    <row r="148" spans="5:7" x14ac:dyDescent="0.3">
      <c r="E148" s="12"/>
      <c r="F148" s="12"/>
      <c r="G148" s="12"/>
    </row>
    <row r="149" spans="5:7" x14ac:dyDescent="0.3">
      <c r="E149" s="12"/>
      <c r="F149" s="12"/>
      <c r="G149" s="12"/>
    </row>
    <row r="150" spans="5:7" x14ac:dyDescent="0.3">
      <c r="E150" s="12"/>
      <c r="F150" s="12"/>
      <c r="G150" s="12"/>
    </row>
    <row r="151" spans="5:7" x14ac:dyDescent="0.3">
      <c r="E151" s="12"/>
      <c r="F151" s="12"/>
      <c r="G151" s="12"/>
    </row>
    <row r="152" spans="5:7" x14ac:dyDescent="0.3">
      <c r="E152" s="12"/>
      <c r="F152" s="12"/>
      <c r="G152" s="12"/>
    </row>
    <row r="153" spans="5:7" x14ac:dyDescent="0.3">
      <c r="E153" s="12"/>
      <c r="F153" s="12"/>
      <c r="G153" s="12"/>
    </row>
    <row r="154" spans="5:7" x14ac:dyDescent="0.3">
      <c r="E154" s="12"/>
      <c r="F154" s="12"/>
      <c r="G154" s="12"/>
    </row>
    <row r="155" spans="5:7" x14ac:dyDescent="0.3">
      <c r="E155" s="12"/>
      <c r="F155" s="12"/>
      <c r="G155" s="12"/>
    </row>
    <row r="156" spans="5:7" x14ac:dyDescent="0.3">
      <c r="E156" s="12"/>
      <c r="F156" s="12"/>
      <c r="G156" s="12"/>
    </row>
    <row r="157" spans="5:7" x14ac:dyDescent="0.3">
      <c r="E157" s="12"/>
      <c r="F157" s="12"/>
      <c r="G157" s="12"/>
    </row>
    <row r="158" spans="5:7" x14ac:dyDescent="0.3">
      <c r="E158" s="12"/>
      <c r="F158" s="12"/>
      <c r="G158" s="12"/>
    </row>
    <row r="159" spans="5:7" x14ac:dyDescent="0.3">
      <c r="E159" s="12"/>
      <c r="F159" s="12"/>
      <c r="G159" s="12"/>
    </row>
    <row r="160" spans="5:7" x14ac:dyDescent="0.3">
      <c r="E160" s="12"/>
      <c r="F160" s="12"/>
      <c r="G160" s="12"/>
    </row>
    <row r="161" spans="5:7" x14ac:dyDescent="0.3">
      <c r="E161" s="12"/>
      <c r="F161" s="12"/>
      <c r="G161" s="12"/>
    </row>
    <row r="162" spans="5:7" x14ac:dyDescent="0.3">
      <c r="E162" s="12"/>
      <c r="F162" s="12"/>
      <c r="G162" s="12"/>
    </row>
    <row r="163" spans="5:7" x14ac:dyDescent="0.3">
      <c r="E163" s="12"/>
      <c r="F163" s="12"/>
      <c r="G163" s="12"/>
    </row>
    <row r="164" spans="5:7" x14ac:dyDescent="0.3">
      <c r="E164" s="12"/>
      <c r="F164" s="12"/>
      <c r="G164" s="12"/>
    </row>
    <row r="165" spans="5:7" x14ac:dyDescent="0.3">
      <c r="E165" s="12"/>
      <c r="F165" s="12"/>
      <c r="G165" s="12"/>
    </row>
    <row r="166" spans="5:7" x14ac:dyDescent="0.3">
      <c r="E166" s="12"/>
      <c r="F166" s="12"/>
      <c r="G166" s="12"/>
    </row>
    <row r="167" spans="5:7" x14ac:dyDescent="0.3">
      <c r="E167" s="12"/>
      <c r="F167" s="12"/>
      <c r="G167" s="12"/>
    </row>
    <row r="168" spans="5:7" x14ac:dyDescent="0.3">
      <c r="E168" s="12"/>
      <c r="F168" s="12"/>
      <c r="G168" s="12"/>
    </row>
    <row r="169" spans="5:7" x14ac:dyDescent="0.3">
      <c r="E169" s="12"/>
      <c r="F169" s="12"/>
      <c r="G169" s="12"/>
    </row>
    <row r="170" spans="5:7" x14ac:dyDescent="0.3">
      <c r="E170" s="12"/>
      <c r="F170" s="12"/>
      <c r="G170" s="12"/>
    </row>
    <row r="171" spans="5:7" x14ac:dyDescent="0.3">
      <c r="E171" s="12"/>
      <c r="F171" s="12"/>
      <c r="G171" s="12"/>
    </row>
    <row r="172" spans="5:7" x14ac:dyDescent="0.3">
      <c r="E172" s="12"/>
      <c r="F172" s="12"/>
      <c r="G172" s="12"/>
    </row>
    <row r="173" spans="5:7" x14ac:dyDescent="0.3">
      <c r="E173" s="12"/>
      <c r="F173" s="12"/>
      <c r="G173" s="12"/>
    </row>
    <row r="174" spans="5:7" x14ac:dyDescent="0.3">
      <c r="E174" s="12"/>
      <c r="F174" s="12"/>
      <c r="G174" s="12"/>
    </row>
    <row r="175" spans="5:7" x14ac:dyDescent="0.3">
      <c r="E175" s="12"/>
      <c r="F175" s="12"/>
      <c r="G175" s="12"/>
    </row>
    <row r="176" spans="5:7" x14ac:dyDescent="0.3">
      <c r="E176" s="12"/>
      <c r="F176" s="12"/>
      <c r="G176" s="12"/>
    </row>
    <row r="177" spans="5:7" x14ac:dyDescent="0.3">
      <c r="E177" s="12"/>
      <c r="F177" s="12"/>
      <c r="G177" s="12"/>
    </row>
    <row r="178" spans="5:7" x14ac:dyDescent="0.3">
      <c r="E178" s="12"/>
      <c r="F178" s="12"/>
      <c r="G178" s="12"/>
    </row>
    <row r="179" spans="5:7" x14ac:dyDescent="0.3">
      <c r="E179" s="12"/>
      <c r="F179" s="12"/>
      <c r="G179" s="12"/>
    </row>
    <row r="180" spans="5:7" x14ac:dyDescent="0.3">
      <c r="E180" s="12"/>
      <c r="F180" s="12"/>
      <c r="G180" s="12"/>
    </row>
    <row r="181" spans="5:7" x14ac:dyDescent="0.3">
      <c r="E181" s="12"/>
      <c r="F181" s="12"/>
      <c r="G181" s="12"/>
    </row>
    <row r="182" spans="5:7" x14ac:dyDescent="0.3">
      <c r="E182" s="12"/>
      <c r="F182" s="12"/>
      <c r="G182" s="12"/>
    </row>
    <row r="183" spans="5:7" x14ac:dyDescent="0.3">
      <c r="E183" s="12"/>
      <c r="F183" s="12"/>
      <c r="G183" s="12"/>
    </row>
    <row r="184" spans="5:7" x14ac:dyDescent="0.3">
      <c r="E184" s="12"/>
      <c r="F184" s="12"/>
      <c r="G184" s="12"/>
    </row>
    <row r="185" spans="5:7" x14ac:dyDescent="0.3">
      <c r="E185" s="12"/>
      <c r="F185" s="12"/>
      <c r="G185" s="12"/>
    </row>
    <row r="186" spans="5:7" x14ac:dyDescent="0.3">
      <c r="E186" s="12"/>
      <c r="F186" s="12"/>
      <c r="G186" s="12"/>
    </row>
    <row r="187" spans="5:7" x14ac:dyDescent="0.3">
      <c r="E187" s="12"/>
      <c r="F187" s="12"/>
      <c r="G187" s="12"/>
    </row>
    <row r="188" spans="5:7" x14ac:dyDescent="0.3">
      <c r="E188" s="12"/>
      <c r="F188" s="12"/>
      <c r="G188" s="12"/>
    </row>
    <row r="189" spans="5:7" x14ac:dyDescent="0.3">
      <c r="E189" s="12"/>
      <c r="F189" s="12"/>
      <c r="G189" s="12"/>
    </row>
    <row r="190" spans="5:7" x14ac:dyDescent="0.3">
      <c r="E190" s="12"/>
      <c r="F190" s="12"/>
      <c r="G190" s="12"/>
    </row>
    <row r="191" spans="5:7" x14ac:dyDescent="0.3">
      <c r="E191" s="12"/>
      <c r="F191" s="12"/>
      <c r="G191" s="12"/>
    </row>
    <row r="192" spans="5:7" x14ac:dyDescent="0.3">
      <c r="E192" s="12"/>
      <c r="F192" s="12"/>
      <c r="G192" s="12"/>
    </row>
    <row r="193" spans="5:7" x14ac:dyDescent="0.3">
      <c r="E193" s="12"/>
      <c r="F193" s="12"/>
      <c r="G193" s="12"/>
    </row>
    <row r="194" spans="5:7" x14ac:dyDescent="0.3">
      <c r="E194" s="12"/>
      <c r="F194" s="12"/>
      <c r="G194" s="12"/>
    </row>
    <row r="195" spans="5:7" x14ac:dyDescent="0.3">
      <c r="E195" s="12"/>
      <c r="F195" s="12"/>
      <c r="G195" s="12"/>
    </row>
    <row r="196" spans="5:7" x14ac:dyDescent="0.3">
      <c r="E196" s="12"/>
      <c r="F196" s="12"/>
      <c r="G196" s="12"/>
    </row>
    <row r="197" spans="5:7" x14ac:dyDescent="0.3">
      <c r="E197" s="12"/>
      <c r="F197" s="12"/>
      <c r="G197" s="12"/>
    </row>
    <row r="198" spans="5:7" x14ac:dyDescent="0.3">
      <c r="E198" s="12"/>
      <c r="F198" s="12"/>
      <c r="G198" s="12"/>
    </row>
    <row r="199" spans="5:7" x14ac:dyDescent="0.3">
      <c r="E199" s="12"/>
      <c r="F199" s="12"/>
      <c r="G199" s="12"/>
    </row>
    <row r="200" spans="5:7" x14ac:dyDescent="0.3">
      <c r="E200" s="12"/>
      <c r="F200" s="12"/>
      <c r="G200" s="12"/>
    </row>
    <row r="201" spans="5:7" x14ac:dyDescent="0.3">
      <c r="E201" s="12"/>
      <c r="F201" s="12"/>
      <c r="G201" s="12"/>
    </row>
    <row r="202" spans="5:7" x14ac:dyDescent="0.3">
      <c r="E202" s="12"/>
      <c r="F202" s="12"/>
      <c r="G202" s="12"/>
    </row>
    <row r="203" spans="5:7" x14ac:dyDescent="0.3">
      <c r="E203" s="12"/>
      <c r="F203" s="12"/>
      <c r="G203" s="12"/>
    </row>
    <row r="204" spans="5:7" x14ac:dyDescent="0.3">
      <c r="E204" s="12"/>
      <c r="F204" s="12"/>
      <c r="G204" s="12"/>
    </row>
    <row r="205" spans="5:7" x14ac:dyDescent="0.3">
      <c r="E205" s="12"/>
      <c r="F205" s="12"/>
      <c r="G205" s="12"/>
    </row>
    <row r="206" spans="5:7" x14ac:dyDescent="0.3">
      <c r="E206" s="12"/>
      <c r="F206" s="12"/>
      <c r="G206" s="12"/>
    </row>
    <row r="207" spans="5:7" x14ac:dyDescent="0.3">
      <c r="E207" s="12"/>
      <c r="F207" s="12"/>
      <c r="G207" s="12"/>
    </row>
    <row r="208" spans="5:7" x14ac:dyDescent="0.3">
      <c r="E208" s="12"/>
      <c r="F208" s="12"/>
      <c r="G208" s="12"/>
    </row>
    <row r="209" spans="5:7" x14ac:dyDescent="0.3">
      <c r="E209" s="12"/>
      <c r="F209" s="12"/>
      <c r="G209" s="12"/>
    </row>
    <row r="210" spans="5:7" x14ac:dyDescent="0.3">
      <c r="E210" s="12"/>
      <c r="F210" s="12"/>
      <c r="G210" s="12"/>
    </row>
    <row r="211" spans="5:7" x14ac:dyDescent="0.3">
      <c r="E211" s="12"/>
      <c r="F211" s="12"/>
      <c r="G211" s="12"/>
    </row>
    <row r="212" spans="5:7" x14ac:dyDescent="0.3">
      <c r="E212" s="12"/>
      <c r="F212" s="12"/>
      <c r="G212" s="12"/>
    </row>
    <row r="213" spans="5:7" x14ac:dyDescent="0.3">
      <c r="E213" s="12"/>
      <c r="F213" s="12"/>
      <c r="G213" s="12"/>
    </row>
    <row r="214" spans="5:7" x14ac:dyDescent="0.3">
      <c r="E214" s="12"/>
      <c r="F214" s="12"/>
      <c r="G214" s="12"/>
    </row>
    <row r="215" spans="5:7" x14ac:dyDescent="0.3">
      <c r="E215" s="12"/>
      <c r="F215" s="12"/>
      <c r="G215" s="12"/>
    </row>
    <row r="216" spans="5:7" x14ac:dyDescent="0.3">
      <c r="E216" s="12"/>
      <c r="F216" s="12"/>
      <c r="G216" s="12"/>
    </row>
    <row r="217" spans="5:7" x14ac:dyDescent="0.3">
      <c r="E217" s="12"/>
      <c r="F217" s="12"/>
      <c r="G217" s="12"/>
    </row>
    <row r="218" spans="5:7" x14ac:dyDescent="0.3">
      <c r="E218" s="12"/>
      <c r="F218" s="12"/>
      <c r="G218" s="12"/>
    </row>
    <row r="219" spans="5:7" x14ac:dyDescent="0.3">
      <c r="E219" s="12"/>
      <c r="F219" s="12"/>
      <c r="G219" s="12"/>
    </row>
    <row r="220" spans="5:7" x14ac:dyDescent="0.3">
      <c r="E220" s="12"/>
      <c r="F220" s="12"/>
      <c r="G220" s="12"/>
    </row>
    <row r="221" spans="5:7" x14ac:dyDescent="0.3">
      <c r="E221" s="12"/>
      <c r="F221" s="12"/>
      <c r="G221" s="12"/>
    </row>
    <row r="222" spans="5:7" x14ac:dyDescent="0.3">
      <c r="E222" s="12"/>
      <c r="F222" s="12"/>
      <c r="G222" s="12"/>
    </row>
    <row r="223" spans="5:7" x14ac:dyDescent="0.3">
      <c r="E223" s="12"/>
      <c r="F223" s="12"/>
      <c r="G223" s="12"/>
    </row>
    <row r="224" spans="5:7" x14ac:dyDescent="0.3">
      <c r="E224" s="12"/>
      <c r="F224" s="12"/>
      <c r="G224" s="12"/>
    </row>
    <row r="225" spans="5:7" x14ac:dyDescent="0.3">
      <c r="E225" s="12"/>
      <c r="F225" s="12"/>
      <c r="G225" s="12"/>
    </row>
    <row r="226" spans="5:7" x14ac:dyDescent="0.3">
      <c r="E226" s="12"/>
      <c r="F226" s="12"/>
      <c r="G226" s="12"/>
    </row>
    <row r="227" spans="5:7" x14ac:dyDescent="0.3">
      <c r="E227" s="12"/>
      <c r="F227" s="12"/>
      <c r="G227" s="12"/>
    </row>
    <row r="228" spans="5:7" x14ac:dyDescent="0.3">
      <c r="E228" s="12"/>
      <c r="F228" s="12"/>
      <c r="G228" s="12"/>
    </row>
    <row r="229" spans="5:7" x14ac:dyDescent="0.3">
      <c r="E229" s="12"/>
      <c r="F229" s="12"/>
      <c r="G229" s="12"/>
    </row>
    <row r="230" spans="5:7" x14ac:dyDescent="0.3">
      <c r="E230" s="12"/>
      <c r="F230" s="12"/>
      <c r="G230" s="12"/>
    </row>
    <row r="231" spans="5:7" x14ac:dyDescent="0.3">
      <c r="E231" s="12"/>
      <c r="F231" s="12"/>
      <c r="G231" s="12"/>
    </row>
    <row r="232" spans="5:7" x14ac:dyDescent="0.3">
      <c r="E232" s="12"/>
      <c r="F232" s="12"/>
      <c r="G232" s="12"/>
    </row>
    <row r="233" spans="5:7" x14ac:dyDescent="0.3">
      <c r="E233" s="12"/>
      <c r="F233" s="12"/>
      <c r="G233" s="12"/>
    </row>
    <row r="234" spans="5:7" x14ac:dyDescent="0.3">
      <c r="E234" s="12"/>
      <c r="F234" s="12"/>
      <c r="G234" s="12"/>
    </row>
    <row r="235" spans="5:7" x14ac:dyDescent="0.3">
      <c r="E235" s="12"/>
      <c r="F235" s="12"/>
      <c r="G235" s="12"/>
    </row>
    <row r="236" spans="5:7" x14ac:dyDescent="0.3">
      <c r="E236" s="12"/>
      <c r="F236" s="12"/>
      <c r="G236" s="12"/>
    </row>
    <row r="237" spans="5:7" x14ac:dyDescent="0.3">
      <c r="E237" s="12"/>
      <c r="F237" s="12"/>
      <c r="G237" s="12"/>
    </row>
    <row r="238" spans="5:7" x14ac:dyDescent="0.3">
      <c r="E238" s="12"/>
      <c r="F238" s="12"/>
      <c r="G238" s="12"/>
    </row>
    <row r="239" spans="5:7" x14ac:dyDescent="0.3">
      <c r="E239" s="12"/>
      <c r="F239" s="12"/>
      <c r="G239" s="12"/>
    </row>
    <row r="240" spans="5:7" x14ac:dyDescent="0.3">
      <c r="E240" s="12"/>
      <c r="F240" s="12"/>
      <c r="G240" s="12"/>
    </row>
    <row r="241" spans="5:7" x14ac:dyDescent="0.3">
      <c r="E241" s="12"/>
      <c r="F241" s="12"/>
      <c r="G241" s="12"/>
    </row>
    <row r="242" spans="5:7" x14ac:dyDescent="0.3">
      <c r="E242" s="12"/>
      <c r="F242" s="12"/>
      <c r="G242" s="12"/>
    </row>
    <row r="243" spans="5:7" x14ac:dyDescent="0.3">
      <c r="E243" s="12"/>
      <c r="F243" s="12"/>
      <c r="G243" s="12"/>
    </row>
    <row r="244" spans="5:7" x14ac:dyDescent="0.3">
      <c r="E244" s="12"/>
      <c r="F244" s="12"/>
      <c r="G244" s="12"/>
    </row>
    <row r="245" spans="5:7" x14ac:dyDescent="0.3">
      <c r="E245" s="12"/>
      <c r="F245" s="12"/>
      <c r="G245" s="12"/>
    </row>
    <row r="246" spans="5:7" x14ac:dyDescent="0.3">
      <c r="E246" s="12"/>
      <c r="F246" s="12"/>
      <c r="G246" s="12"/>
    </row>
    <row r="247" spans="5:7" x14ac:dyDescent="0.3">
      <c r="E247" s="12"/>
      <c r="F247" s="12"/>
      <c r="G247" s="12"/>
    </row>
    <row r="248" spans="5:7" x14ac:dyDescent="0.3">
      <c r="E248" s="12"/>
      <c r="F248" s="12"/>
      <c r="G248" s="12"/>
    </row>
    <row r="249" spans="5:7" x14ac:dyDescent="0.3">
      <c r="E249" s="12"/>
      <c r="F249" s="12"/>
      <c r="G249" s="12"/>
    </row>
    <row r="250" spans="5:7" x14ac:dyDescent="0.3">
      <c r="E250" s="12"/>
      <c r="F250" s="12"/>
      <c r="G250" s="12"/>
    </row>
    <row r="251" spans="5:7" x14ac:dyDescent="0.3">
      <c r="E251" s="12"/>
      <c r="F251" s="12"/>
      <c r="G251" s="12"/>
    </row>
    <row r="252" spans="5:7" x14ac:dyDescent="0.3">
      <c r="E252" s="12"/>
      <c r="F252" s="12"/>
      <c r="G252" s="12"/>
    </row>
    <row r="253" spans="5:7" x14ac:dyDescent="0.3">
      <c r="E253" s="12"/>
      <c r="F253" s="12"/>
      <c r="G253" s="12"/>
    </row>
    <row r="254" spans="5:7" x14ac:dyDescent="0.3">
      <c r="E254" s="12"/>
      <c r="F254" s="12"/>
      <c r="G254" s="12"/>
    </row>
    <row r="255" spans="5:7" x14ac:dyDescent="0.3">
      <c r="E255" s="12"/>
      <c r="F255" s="12"/>
      <c r="G255" s="12"/>
    </row>
    <row r="256" spans="5:7" x14ac:dyDescent="0.3">
      <c r="E256" s="12"/>
      <c r="F256" s="12"/>
      <c r="G256" s="12"/>
    </row>
    <row r="257" spans="5:7" x14ac:dyDescent="0.3">
      <c r="E257" s="12"/>
      <c r="F257" s="12"/>
      <c r="G257" s="12"/>
    </row>
    <row r="258" spans="5:7" x14ac:dyDescent="0.3">
      <c r="E258" s="12"/>
      <c r="F258" s="12"/>
      <c r="G258" s="12"/>
    </row>
    <row r="259" spans="5:7" x14ac:dyDescent="0.3">
      <c r="E259" s="12"/>
      <c r="F259" s="12"/>
      <c r="G259" s="12"/>
    </row>
    <row r="260" spans="5:7" x14ac:dyDescent="0.3">
      <c r="E260" s="12"/>
      <c r="F260" s="12"/>
      <c r="G260" s="12"/>
    </row>
    <row r="261" spans="5:7" x14ac:dyDescent="0.3">
      <c r="E261" s="12"/>
      <c r="F261" s="12"/>
      <c r="G261" s="12"/>
    </row>
    <row r="262" spans="5:7" x14ac:dyDescent="0.3">
      <c r="E262" s="12"/>
      <c r="F262" s="12"/>
      <c r="G262" s="12"/>
    </row>
    <row r="263" spans="5:7" x14ac:dyDescent="0.3">
      <c r="E263" s="12"/>
      <c r="F263" s="12"/>
      <c r="G263" s="12"/>
    </row>
    <row r="264" spans="5:7" x14ac:dyDescent="0.3">
      <c r="E264" s="12"/>
      <c r="F264" s="12"/>
      <c r="G264" s="12"/>
    </row>
    <row r="265" spans="5:7" x14ac:dyDescent="0.3">
      <c r="E265" s="12"/>
      <c r="F265" s="12"/>
      <c r="G265" s="12"/>
    </row>
    <row r="266" spans="5:7" x14ac:dyDescent="0.3">
      <c r="E266" s="12"/>
      <c r="F266" s="12"/>
      <c r="G266" s="12"/>
    </row>
    <row r="267" spans="5:7" x14ac:dyDescent="0.3">
      <c r="E267" s="12"/>
      <c r="F267" s="12"/>
      <c r="G267" s="12"/>
    </row>
    <row r="268" spans="5:7" x14ac:dyDescent="0.3">
      <c r="E268" s="12"/>
      <c r="F268" s="12"/>
      <c r="G268" s="12"/>
    </row>
    <row r="269" spans="5:7" x14ac:dyDescent="0.3">
      <c r="E269" s="12"/>
      <c r="F269" s="12"/>
      <c r="G269" s="12"/>
    </row>
    <row r="270" spans="5:7" x14ac:dyDescent="0.3">
      <c r="E270" s="12"/>
      <c r="F270" s="12"/>
      <c r="G270" s="12"/>
    </row>
    <row r="271" spans="5:7" x14ac:dyDescent="0.3">
      <c r="E271" s="12"/>
      <c r="F271" s="12"/>
      <c r="G271" s="12"/>
    </row>
    <row r="272" spans="5:7" x14ac:dyDescent="0.3">
      <c r="E272" s="12"/>
      <c r="F272" s="12"/>
      <c r="G272" s="12"/>
    </row>
    <row r="273" spans="5:7" x14ac:dyDescent="0.3">
      <c r="E273" s="12"/>
      <c r="F273" s="12"/>
      <c r="G273" s="12"/>
    </row>
    <row r="274" spans="5:7" x14ac:dyDescent="0.3">
      <c r="E274" s="12"/>
      <c r="F274" s="12"/>
      <c r="G274" s="12"/>
    </row>
    <row r="275" spans="5:7" x14ac:dyDescent="0.3">
      <c r="E275" s="12"/>
      <c r="F275" s="12"/>
      <c r="G275" s="12"/>
    </row>
    <row r="276" spans="5:7" x14ac:dyDescent="0.3">
      <c r="E276" s="12"/>
      <c r="F276" s="12"/>
      <c r="G276" s="12"/>
    </row>
    <row r="277" spans="5:7" x14ac:dyDescent="0.3">
      <c r="E277" s="12"/>
      <c r="F277" s="12"/>
      <c r="G277" s="12"/>
    </row>
    <row r="278" spans="5:7" x14ac:dyDescent="0.3">
      <c r="E278" s="12"/>
      <c r="F278" s="12"/>
      <c r="G278" s="12"/>
    </row>
    <row r="279" spans="5:7" x14ac:dyDescent="0.3">
      <c r="E279" s="12"/>
      <c r="F279" s="12"/>
      <c r="G279" s="12"/>
    </row>
    <row r="280" spans="5:7" x14ac:dyDescent="0.3">
      <c r="E280" s="12"/>
      <c r="F280" s="12"/>
      <c r="G280" s="12"/>
    </row>
    <row r="281" spans="5:7" x14ac:dyDescent="0.3">
      <c r="E281" s="12"/>
      <c r="F281" s="12"/>
      <c r="G281" s="12"/>
    </row>
    <row r="282" spans="5:7" x14ac:dyDescent="0.3">
      <c r="E282" s="12"/>
      <c r="F282" s="12"/>
      <c r="G282" s="12"/>
    </row>
    <row r="283" spans="5:7" x14ac:dyDescent="0.3">
      <c r="E283" s="12"/>
      <c r="F283" s="12"/>
      <c r="G283" s="12"/>
    </row>
    <row r="284" spans="5:7" x14ac:dyDescent="0.3">
      <c r="E284" s="12"/>
      <c r="F284" s="12"/>
      <c r="G284" s="12"/>
    </row>
    <row r="285" spans="5:7" x14ac:dyDescent="0.3">
      <c r="E285" s="12"/>
      <c r="F285" s="12"/>
      <c r="G285" s="12"/>
    </row>
    <row r="286" spans="5:7" x14ac:dyDescent="0.3">
      <c r="E286" s="12"/>
      <c r="F286" s="12"/>
      <c r="G286" s="12"/>
    </row>
    <row r="287" spans="5:7" x14ac:dyDescent="0.3">
      <c r="E287" s="12"/>
      <c r="F287" s="12"/>
      <c r="G287" s="12"/>
    </row>
    <row r="288" spans="5:7" x14ac:dyDescent="0.3">
      <c r="E288" s="12"/>
      <c r="F288" s="12"/>
      <c r="G288" s="12"/>
    </row>
  </sheetData>
  <mergeCells count="5">
    <mergeCell ref="C19:I19"/>
    <mergeCell ref="C29:I29"/>
    <mergeCell ref="C9:I9"/>
    <mergeCell ref="C7:I7"/>
    <mergeCell ref="C5:I5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E508"/>
  <sheetViews>
    <sheetView showGridLines="0" showRowColHeaders="0" tabSelected="1" zoomScale="70" zoomScaleNormal="70" workbookViewId="0">
      <selection activeCell="AO32" sqref="AO32"/>
    </sheetView>
  </sheetViews>
  <sheetFormatPr defaultRowHeight="14.4" x14ac:dyDescent="0.3"/>
  <cols>
    <col min="2" max="2" width="15.88671875" customWidth="1"/>
    <col min="3" max="3" width="11.33203125" customWidth="1"/>
    <col min="7" max="7" width="17.33203125" customWidth="1"/>
    <col min="13" max="13" width="6.5546875" customWidth="1"/>
  </cols>
  <sheetData>
    <row r="1" spans="1:31" s="4" customFormat="1" ht="197.4" customHeight="1" x14ac:dyDescent="0.3"/>
    <row r="2" spans="1:31" s="24" customFormat="1" ht="48" customHeight="1" thickBot="1" x14ac:dyDescent="0.35">
      <c r="B2" s="35" t="s">
        <v>320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s="24" customFormat="1" ht="11.4" customHeight="1" thickTop="1" x14ac:dyDescent="0.3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</row>
    <row r="4" spans="1:31" s="7" customFormat="1" ht="25.8" customHeight="1" x14ac:dyDescent="0.3">
      <c r="A4" s="37" t="s">
        <v>326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 spans="1:31" s="7" customFormat="1" x14ac:dyDescent="0.3"/>
    <row r="6" spans="1:31" s="7" customFormat="1" x14ac:dyDescent="0.3"/>
    <row r="7" spans="1:31" s="7" customFormat="1" x14ac:dyDescent="0.3"/>
    <row r="8" spans="1:31" s="7" customFormat="1" ht="10.199999999999999" customHeight="1" x14ac:dyDescent="0.3"/>
    <row r="9" spans="1:31" s="7" customFormat="1" ht="9.75" customHeight="1" x14ac:dyDescent="0.3"/>
    <row r="10" spans="1:31" s="7" customFormat="1" x14ac:dyDescent="0.3"/>
    <row r="11" spans="1:31" s="7" customFormat="1" x14ac:dyDescent="0.3"/>
    <row r="12" spans="1:31" s="7" customFormat="1" x14ac:dyDescent="0.3"/>
    <row r="13" spans="1:31" s="7" customFormat="1" x14ac:dyDescent="0.3"/>
    <row r="14" spans="1:31" s="7" customFormat="1" x14ac:dyDescent="0.3"/>
    <row r="15" spans="1:31" s="7" customFormat="1" x14ac:dyDescent="0.3"/>
    <row r="16" spans="1:31" s="7" customFormat="1" x14ac:dyDescent="0.3"/>
    <row r="17" s="7" customFormat="1" x14ac:dyDescent="0.3"/>
    <row r="18" s="7" customFormat="1" x14ac:dyDescent="0.3"/>
    <row r="19" s="7" customFormat="1" x14ac:dyDescent="0.3"/>
    <row r="20" s="7" customFormat="1" x14ac:dyDescent="0.3"/>
    <row r="21" s="7" customFormat="1" x14ac:dyDescent="0.3"/>
    <row r="22" s="7" customFormat="1" x14ac:dyDescent="0.3"/>
    <row r="23" s="7" customFormat="1" x14ac:dyDescent="0.3"/>
    <row r="24" s="7" customFormat="1" x14ac:dyDescent="0.3"/>
    <row r="25" s="7" customFormat="1" x14ac:dyDescent="0.3"/>
    <row r="26" s="7" customFormat="1" x14ac:dyDescent="0.3"/>
    <row r="27" s="7" customFormat="1" x14ac:dyDescent="0.3"/>
    <row r="28" s="7" customFormat="1" x14ac:dyDescent="0.3"/>
    <row r="29" s="7" customFormat="1" x14ac:dyDescent="0.3"/>
    <row r="30" s="7" customFormat="1" x14ac:dyDescent="0.3"/>
    <row r="31" s="7" customFormat="1" x14ac:dyDescent="0.3"/>
    <row r="32" s="7" customFormat="1" x14ac:dyDescent="0.3"/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  <row r="385" s="7" customFormat="1" x14ac:dyDescent="0.3"/>
    <row r="386" s="7" customFormat="1" x14ac:dyDescent="0.3"/>
    <row r="387" s="7" customFormat="1" x14ac:dyDescent="0.3"/>
    <row r="388" s="7" customFormat="1" x14ac:dyDescent="0.3"/>
    <row r="389" s="7" customFormat="1" x14ac:dyDescent="0.3"/>
    <row r="390" s="7" customFormat="1" x14ac:dyDescent="0.3"/>
    <row r="391" s="7" customFormat="1" x14ac:dyDescent="0.3"/>
    <row r="392" s="7" customFormat="1" x14ac:dyDescent="0.3"/>
    <row r="393" s="7" customFormat="1" x14ac:dyDescent="0.3"/>
    <row r="394" s="7" customFormat="1" x14ac:dyDescent="0.3"/>
    <row r="395" s="7" customFormat="1" x14ac:dyDescent="0.3"/>
    <row r="396" s="7" customFormat="1" x14ac:dyDescent="0.3"/>
    <row r="397" s="7" customFormat="1" x14ac:dyDescent="0.3"/>
    <row r="398" s="7" customFormat="1" x14ac:dyDescent="0.3"/>
    <row r="399" s="7" customFormat="1" x14ac:dyDescent="0.3"/>
    <row r="400" s="7" customFormat="1" x14ac:dyDescent="0.3"/>
    <row r="401" s="7" customFormat="1" x14ac:dyDescent="0.3"/>
    <row r="402" s="7" customFormat="1" x14ac:dyDescent="0.3"/>
    <row r="403" s="7" customFormat="1" x14ac:dyDescent="0.3"/>
    <row r="404" s="7" customFormat="1" x14ac:dyDescent="0.3"/>
    <row r="405" s="7" customFormat="1" x14ac:dyDescent="0.3"/>
    <row r="406" s="7" customFormat="1" x14ac:dyDescent="0.3"/>
    <row r="407" s="7" customFormat="1" x14ac:dyDescent="0.3"/>
    <row r="408" s="7" customFormat="1" x14ac:dyDescent="0.3"/>
    <row r="409" s="7" customFormat="1" x14ac:dyDescent="0.3"/>
    <row r="410" s="7" customFormat="1" x14ac:dyDescent="0.3"/>
    <row r="411" s="7" customFormat="1" x14ac:dyDescent="0.3"/>
    <row r="412" s="7" customFormat="1" x14ac:dyDescent="0.3"/>
    <row r="413" s="7" customFormat="1" x14ac:dyDescent="0.3"/>
    <row r="414" s="7" customFormat="1" x14ac:dyDescent="0.3"/>
    <row r="415" s="7" customFormat="1" x14ac:dyDescent="0.3"/>
    <row r="416" s="7" customFormat="1" x14ac:dyDescent="0.3"/>
    <row r="417" s="7" customFormat="1" x14ac:dyDescent="0.3"/>
    <row r="418" s="7" customFormat="1" x14ac:dyDescent="0.3"/>
    <row r="419" s="7" customFormat="1" x14ac:dyDescent="0.3"/>
    <row r="420" s="7" customFormat="1" x14ac:dyDescent="0.3"/>
    <row r="421" s="7" customFormat="1" x14ac:dyDescent="0.3"/>
    <row r="422" s="7" customFormat="1" x14ac:dyDescent="0.3"/>
    <row r="423" s="7" customFormat="1" x14ac:dyDescent="0.3"/>
    <row r="424" s="7" customFormat="1" x14ac:dyDescent="0.3"/>
    <row r="425" s="7" customFormat="1" x14ac:dyDescent="0.3"/>
    <row r="426" s="7" customFormat="1" x14ac:dyDescent="0.3"/>
    <row r="427" s="7" customFormat="1" x14ac:dyDescent="0.3"/>
    <row r="428" s="7" customFormat="1" x14ac:dyDescent="0.3"/>
    <row r="429" s="7" customFormat="1" x14ac:dyDescent="0.3"/>
    <row r="430" s="7" customFormat="1" x14ac:dyDescent="0.3"/>
    <row r="431" s="7" customFormat="1" x14ac:dyDescent="0.3"/>
    <row r="432" s="7" customFormat="1" x14ac:dyDescent="0.3"/>
    <row r="433" s="7" customFormat="1" x14ac:dyDescent="0.3"/>
    <row r="434" s="7" customFormat="1" x14ac:dyDescent="0.3"/>
    <row r="435" s="7" customFormat="1" x14ac:dyDescent="0.3"/>
    <row r="436" s="7" customFormat="1" x14ac:dyDescent="0.3"/>
    <row r="437" s="7" customFormat="1" x14ac:dyDescent="0.3"/>
    <row r="438" s="7" customFormat="1" x14ac:dyDescent="0.3"/>
    <row r="439" s="7" customFormat="1" x14ac:dyDescent="0.3"/>
    <row r="440" s="7" customFormat="1" x14ac:dyDescent="0.3"/>
    <row r="441" s="7" customFormat="1" x14ac:dyDescent="0.3"/>
    <row r="442" s="7" customFormat="1" x14ac:dyDescent="0.3"/>
    <row r="443" s="7" customFormat="1" x14ac:dyDescent="0.3"/>
    <row r="444" s="7" customFormat="1" x14ac:dyDescent="0.3"/>
    <row r="445" s="7" customFormat="1" x14ac:dyDescent="0.3"/>
    <row r="446" s="7" customFormat="1" x14ac:dyDescent="0.3"/>
    <row r="447" s="7" customFormat="1" x14ac:dyDescent="0.3"/>
    <row r="448" s="7" customFormat="1" x14ac:dyDescent="0.3"/>
    <row r="449" s="7" customFormat="1" x14ac:dyDescent="0.3"/>
    <row r="450" s="7" customFormat="1" x14ac:dyDescent="0.3"/>
    <row r="451" s="7" customFormat="1" x14ac:dyDescent="0.3"/>
    <row r="452" s="7" customFormat="1" x14ac:dyDescent="0.3"/>
    <row r="453" s="7" customFormat="1" x14ac:dyDescent="0.3"/>
    <row r="454" s="7" customFormat="1" x14ac:dyDescent="0.3"/>
    <row r="455" s="7" customFormat="1" x14ac:dyDescent="0.3"/>
    <row r="456" s="7" customFormat="1" x14ac:dyDescent="0.3"/>
    <row r="457" s="7" customFormat="1" x14ac:dyDescent="0.3"/>
    <row r="458" s="7" customFormat="1" x14ac:dyDescent="0.3"/>
    <row r="459" s="7" customFormat="1" x14ac:dyDescent="0.3"/>
    <row r="460" s="7" customFormat="1" x14ac:dyDescent="0.3"/>
    <row r="461" s="7" customFormat="1" x14ac:dyDescent="0.3"/>
    <row r="462" s="7" customFormat="1" x14ac:dyDescent="0.3"/>
    <row r="463" s="7" customFormat="1" x14ac:dyDescent="0.3"/>
    <row r="464" s="7" customFormat="1" x14ac:dyDescent="0.3"/>
    <row r="465" s="7" customFormat="1" x14ac:dyDescent="0.3"/>
    <row r="466" s="7" customFormat="1" x14ac:dyDescent="0.3"/>
    <row r="467" s="7" customFormat="1" x14ac:dyDescent="0.3"/>
    <row r="468" s="7" customFormat="1" x14ac:dyDescent="0.3"/>
    <row r="469" s="7" customFormat="1" x14ac:dyDescent="0.3"/>
    <row r="470" s="7" customFormat="1" x14ac:dyDescent="0.3"/>
    <row r="471" s="7" customFormat="1" x14ac:dyDescent="0.3"/>
    <row r="472" s="7" customFormat="1" x14ac:dyDescent="0.3"/>
    <row r="473" s="7" customFormat="1" x14ac:dyDescent="0.3"/>
    <row r="474" s="7" customFormat="1" x14ac:dyDescent="0.3"/>
    <row r="475" s="7" customFormat="1" x14ac:dyDescent="0.3"/>
    <row r="476" s="7" customFormat="1" x14ac:dyDescent="0.3"/>
    <row r="477" s="7" customFormat="1" x14ac:dyDescent="0.3"/>
    <row r="478" s="7" customFormat="1" x14ac:dyDescent="0.3"/>
    <row r="479" s="7" customFormat="1" x14ac:dyDescent="0.3"/>
    <row r="480" s="7" customFormat="1" x14ac:dyDescent="0.3"/>
    <row r="481" s="7" customFormat="1" x14ac:dyDescent="0.3"/>
    <row r="482" s="7" customFormat="1" x14ac:dyDescent="0.3"/>
    <row r="483" s="7" customFormat="1" x14ac:dyDescent="0.3"/>
    <row r="484" s="7" customFormat="1" x14ac:dyDescent="0.3"/>
    <row r="485" s="7" customFormat="1" x14ac:dyDescent="0.3"/>
    <row r="486" s="7" customFormat="1" x14ac:dyDescent="0.3"/>
    <row r="487" s="7" customFormat="1" x14ac:dyDescent="0.3"/>
    <row r="488" s="7" customFormat="1" x14ac:dyDescent="0.3"/>
    <row r="489" s="7" customFormat="1" x14ac:dyDescent="0.3"/>
    <row r="490" s="7" customFormat="1" x14ac:dyDescent="0.3"/>
    <row r="491" s="7" customFormat="1" x14ac:dyDescent="0.3"/>
    <row r="492" s="7" customFormat="1" x14ac:dyDescent="0.3"/>
    <row r="493" s="7" customFormat="1" x14ac:dyDescent="0.3"/>
    <row r="494" s="7" customFormat="1" x14ac:dyDescent="0.3"/>
    <row r="495" s="7" customFormat="1" x14ac:dyDescent="0.3"/>
    <row r="496" s="7" customFormat="1" x14ac:dyDescent="0.3"/>
    <row r="497" s="7" customFormat="1" x14ac:dyDescent="0.3"/>
    <row r="498" s="7" customFormat="1" x14ac:dyDescent="0.3"/>
    <row r="499" s="7" customFormat="1" x14ac:dyDescent="0.3"/>
    <row r="500" s="7" customFormat="1" x14ac:dyDescent="0.3"/>
    <row r="501" s="7" customFormat="1" x14ac:dyDescent="0.3"/>
    <row r="502" s="7" customFormat="1" x14ac:dyDescent="0.3"/>
    <row r="503" s="7" customFormat="1" x14ac:dyDescent="0.3"/>
    <row r="504" s="7" customFormat="1" x14ac:dyDescent="0.3"/>
    <row r="505" s="7" customFormat="1" x14ac:dyDescent="0.3"/>
    <row r="506" s="7" customFormat="1" x14ac:dyDescent="0.3"/>
    <row r="507" s="7" customFormat="1" x14ac:dyDescent="0.3"/>
    <row r="508" s="7" customFormat="1" x14ac:dyDescent="0.3"/>
  </sheetData>
  <mergeCells count="2">
    <mergeCell ref="B2:AE2"/>
    <mergeCell ref="A4:A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Fábio G Costa</cp:lastModifiedBy>
  <dcterms:created xsi:type="dcterms:W3CDTF">2024-12-19T13:13:10Z</dcterms:created>
  <dcterms:modified xsi:type="dcterms:W3CDTF">2026-10-18T23:32:03Z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